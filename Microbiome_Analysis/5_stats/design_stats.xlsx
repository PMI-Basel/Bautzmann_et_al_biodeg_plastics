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.waechli/Desktop/Jan_Waelchli/01_Projects/01_Support/Robin/Microbiome_BE13/02_stats_v2/"/>
    </mc:Choice>
  </mc:AlternateContent>
  <xr:revisionPtr revIDLastSave="0" documentId="13_ncr:1_{41797B85-DC0B-CA4F-B3A8-8DBA72E411BC}" xr6:coauthVersionLast="47" xr6:coauthVersionMax="47" xr10:uidLastSave="{00000000-0000-0000-0000-000000000000}"/>
  <bookViews>
    <workbookView xWindow="0" yWindow="-21100" windowWidth="38400" windowHeight="21100" xr2:uid="{00000000-000D-0000-FFFF-FFFF00000000}"/>
  </bookViews>
  <sheets>
    <sheet name="Sheet2" sheetId="2" r:id="rId1"/>
  </sheets>
  <definedNames>
    <definedName name="_xlnm._FilterDatabase" localSheetId="0" hidden="1">Sheet2!$A$1:$K$385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D4" i="2" s="1"/>
  <c r="C5" i="2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C15" i="2"/>
  <c r="D15" i="2" s="1"/>
  <c r="C16" i="2"/>
  <c r="D16" i="2" s="1"/>
  <c r="C17" i="2"/>
  <c r="D17" i="2" s="1"/>
  <c r="C18" i="2"/>
  <c r="D18" i="2" s="1"/>
  <c r="C19" i="2"/>
  <c r="C20" i="2"/>
  <c r="D20" i="2" s="1"/>
  <c r="C21" i="2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C36" i="2"/>
  <c r="C37" i="2"/>
  <c r="D37" i="2" s="1"/>
  <c r="C38" i="2"/>
  <c r="D38" i="2" s="1"/>
  <c r="C39" i="2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C93" i="2"/>
  <c r="C94" i="2"/>
  <c r="D94" i="2" s="1"/>
  <c r="C95" i="2"/>
  <c r="D95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C111" i="2"/>
  <c r="D111" i="2" s="1"/>
  <c r="C112" i="2"/>
  <c r="D112" i="2" s="1"/>
  <c r="C113" i="2"/>
  <c r="D113" i="2" s="1"/>
  <c r="C114" i="2"/>
  <c r="D114" i="2" s="1"/>
  <c r="C115" i="2"/>
  <c r="C116" i="2"/>
  <c r="D116" i="2" s="1"/>
  <c r="C117" i="2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C132" i="2"/>
  <c r="D132" i="2" s="1"/>
  <c r="C133" i="2"/>
  <c r="D133" i="2" s="1"/>
  <c r="C134" i="2"/>
  <c r="D134" i="2" s="1"/>
  <c r="C135" i="2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C189" i="2"/>
  <c r="C190" i="2"/>
  <c r="D190" i="2" s="1"/>
  <c r="C191" i="2"/>
  <c r="D191" i="2" s="1"/>
  <c r="C195" i="2"/>
  <c r="D195" i="2" s="1"/>
  <c r="C196" i="2"/>
  <c r="D196" i="2" s="1"/>
  <c r="C197" i="2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C207" i="2"/>
  <c r="D207" i="2" s="1"/>
  <c r="C208" i="2"/>
  <c r="D208" i="2" s="1"/>
  <c r="C209" i="2"/>
  <c r="D209" i="2" s="1"/>
  <c r="C210" i="2"/>
  <c r="D210" i="2" s="1"/>
  <c r="C211" i="2"/>
  <c r="C212" i="2"/>
  <c r="D212" i="2" s="1"/>
  <c r="C213" i="2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C228" i="2"/>
  <c r="C229" i="2"/>
  <c r="D229" i="2" s="1"/>
  <c r="C230" i="2"/>
  <c r="D230" i="2" s="1"/>
  <c r="C231" i="2"/>
  <c r="D231" i="2" s="1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C253" i="2"/>
  <c r="D253" i="2" s="1"/>
  <c r="C254" i="2"/>
  <c r="D254" i="2" s="1"/>
  <c r="C255" i="2"/>
  <c r="D255" i="2" s="1"/>
  <c r="C256" i="2"/>
  <c r="D256" i="2" s="1"/>
  <c r="C257" i="2"/>
  <c r="C258" i="2"/>
  <c r="D258" i="2" s="1"/>
  <c r="C259" i="2"/>
  <c r="D259" i="2" s="1"/>
  <c r="C260" i="2"/>
  <c r="C261" i="2"/>
  <c r="C262" i="2"/>
  <c r="D262" i="2" s="1"/>
  <c r="C263" i="2"/>
  <c r="D263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C272" i="2"/>
  <c r="C273" i="2"/>
  <c r="D273" i="2" s="1"/>
  <c r="C274" i="2"/>
  <c r="D274" i="2" s="1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91" i="2"/>
  <c r="D291" i="2" s="1"/>
  <c r="C292" i="2"/>
  <c r="D292" i="2" s="1"/>
  <c r="C293" i="2"/>
  <c r="C294" i="2"/>
  <c r="D294" i="2" s="1"/>
  <c r="C295" i="2"/>
  <c r="D295" i="2" s="1"/>
  <c r="C296" i="2"/>
  <c r="D296" i="2" s="1"/>
  <c r="C297" i="2"/>
  <c r="D297" i="2" s="1"/>
  <c r="C298" i="2"/>
  <c r="D298" i="2" s="1"/>
  <c r="C299" i="2"/>
  <c r="D299" i="2" s="1"/>
  <c r="C300" i="2"/>
  <c r="D300" i="2" s="1"/>
  <c r="C301" i="2"/>
  <c r="D301" i="2" s="1"/>
  <c r="C302" i="2"/>
  <c r="C303" i="2"/>
  <c r="D303" i="2" s="1"/>
  <c r="C304" i="2"/>
  <c r="D304" i="2" s="1"/>
  <c r="C305" i="2"/>
  <c r="D305" i="2" s="1"/>
  <c r="C306" i="2"/>
  <c r="D306" i="2" s="1"/>
  <c r="C307" i="2"/>
  <c r="C308" i="2"/>
  <c r="D308" i="2" s="1"/>
  <c r="C309" i="2"/>
  <c r="C310" i="2"/>
  <c r="D310" i="2" s="1"/>
  <c r="C311" i="2"/>
  <c r="D311" i="2" s="1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D319" i="2" s="1"/>
  <c r="C320" i="2"/>
  <c r="D320" i="2" s="1"/>
  <c r="C321" i="2"/>
  <c r="D321" i="2" s="1"/>
  <c r="C322" i="2"/>
  <c r="D322" i="2" s="1"/>
  <c r="C323" i="2"/>
  <c r="C324" i="2"/>
  <c r="C325" i="2"/>
  <c r="D325" i="2" s="1"/>
  <c r="C326" i="2"/>
  <c r="D326" i="2" s="1"/>
  <c r="C327" i="2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D333" i="2" s="1"/>
  <c r="C334" i="2"/>
  <c r="D334" i="2" s="1"/>
  <c r="C335" i="2"/>
  <c r="D335" i="2" s="1"/>
  <c r="C336" i="2"/>
  <c r="D336" i="2" s="1"/>
  <c r="C337" i="2"/>
  <c r="D337" i="2" s="1"/>
  <c r="C338" i="2"/>
  <c r="D338" i="2" s="1"/>
  <c r="C339" i="2"/>
  <c r="D339" i="2" s="1"/>
  <c r="C340" i="2"/>
  <c r="D340" i="2" s="1"/>
  <c r="C341" i="2"/>
  <c r="D341" i="2" s="1"/>
  <c r="C342" i="2"/>
  <c r="D342" i="2" s="1"/>
  <c r="C343" i="2"/>
  <c r="D343" i="2" s="1"/>
  <c r="C344" i="2"/>
  <c r="D344" i="2" s="1"/>
  <c r="C345" i="2"/>
  <c r="D345" i="2" s="1"/>
  <c r="C346" i="2"/>
  <c r="D346" i="2" s="1"/>
  <c r="C347" i="2"/>
  <c r="D347" i="2" s="1"/>
  <c r="C348" i="2"/>
  <c r="D348" i="2" s="1"/>
  <c r="C349" i="2"/>
  <c r="D349" i="2" s="1"/>
  <c r="C350" i="2"/>
  <c r="D350" i="2" s="1"/>
  <c r="C351" i="2"/>
  <c r="D351" i="2" s="1"/>
  <c r="C352" i="2"/>
  <c r="D352" i="2" s="1"/>
  <c r="C353" i="2"/>
  <c r="C354" i="2"/>
  <c r="D354" i="2" s="1"/>
  <c r="C355" i="2"/>
  <c r="D355" i="2" s="1"/>
  <c r="C356" i="2"/>
  <c r="C357" i="2"/>
  <c r="C358" i="2"/>
  <c r="D358" i="2" s="1"/>
  <c r="C359" i="2"/>
  <c r="D359" i="2" s="1"/>
  <c r="C360" i="2"/>
  <c r="D360" i="2" s="1"/>
  <c r="C361" i="2"/>
  <c r="D361" i="2" s="1"/>
  <c r="C362" i="2"/>
  <c r="D362" i="2" s="1"/>
  <c r="C363" i="2"/>
  <c r="D363" i="2" s="1"/>
  <c r="C364" i="2"/>
  <c r="D364" i="2" s="1"/>
  <c r="C365" i="2"/>
  <c r="D365" i="2" s="1"/>
  <c r="C366" i="2"/>
  <c r="D366" i="2" s="1"/>
  <c r="C367" i="2"/>
  <c r="C368" i="2"/>
  <c r="D368" i="2" s="1"/>
  <c r="C369" i="2"/>
  <c r="D369" i="2" s="1"/>
  <c r="C370" i="2"/>
  <c r="D370" i="2" s="1"/>
  <c r="C371" i="2"/>
  <c r="D371" i="2" s="1"/>
  <c r="C372" i="2"/>
  <c r="D372" i="2" s="1"/>
  <c r="C373" i="2"/>
  <c r="D373" i="2" s="1"/>
  <c r="C374" i="2"/>
  <c r="D374" i="2" s="1"/>
  <c r="C375" i="2"/>
  <c r="D375" i="2" s="1"/>
  <c r="C376" i="2"/>
  <c r="D376" i="2" s="1"/>
  <c r="C377" i="2"/>
  <c r="D377" i="2" s="1"/>
  <c r="C380" i="2"/>
  <c r="D380" i="2" s="1"/>
  <c r="C381" i="2"/>
  <c r="D381" i="2" s="1"/>
  <c r="C382" i="2"/>
  <c r="C383" i="2"/>
  <c r="D383" i="2" s="1"/>
  <c r="C384" i="2"/>
  <c r="D384" i="2" s="1"/>
  <c r="C385" i="2"/>
  <c r="D385" i="2" s="1"/>
  <c r="C3" i="2"/>
  <c r="D3" i="2" s="1"/>
</calcChain>
</file>

<file path=xl/sharedStrings.xml><?xml version="1.0" encoding="utf-8"?>
<sst xmlns="http://schemas.openxmlformats.org/spreadsheetml/2006/main" count="2628" uniqueCount="894">
  <si>
    <t>Treatment</t>
  </si>
  <si>
    <t>Substrate</t>
  </si>
  <si>
    <t>A1</t>
  </si>
  <si>
    <t>NC1</t>
  </si>
  <si>
    <t>FLD0001</t>
  </si>
  <si>
    <t>B1</t>
  </si>
  <si>
    <t>FLD0002</t>
  </si>
  <si>
    <t>C1</t>
  </si>
  <si>
    <t>FLD0003</t>
  </si>
  <si>
    <t>D1</t>
  </si>
  <si>
    <t>CTRL_plant</t>
  </si>
  <si>
    <t>FLD0004</t>
  </si>
  <si>
    <t>E1</t>
  </si>
  <si>
    <t>FLD0005</t>
  </si>
  <si>
    <t>F1</t>
  </si>
  <si>
    <t>Soil</t>
  </si>
  <si>
    <t>FLD0006</t>
  </si>
  <si>
    <t>G1</t>
  </si>
  <si>
    <t>FLD0007</t>
  </si>
  <si>
    <t>H1</t>
  </si>
  <si>
    <t>CTRL_substrate</t>
  </si>
  <si>
    <t>Sand</t>
  </si>
  <si>
    <t>FLD0008</t>
  </si>
  <si>
    <t>A2</t>
  </si>
  <si>
    <t>FLD0009</t>
  </si>
  <si>
    <t>B2</t>
  </si>
  <si>
    <t>FLD0010</t>
  </si>
  <si>
    <t>C2</t>
  </si>
  <si>
    <t>FLD0011</t>
  </si>
  <si>
    <t>D2</t>
  </si>
  <si>
    <t>FLD0012</t>
  </si>
  <si>
    <t>E2</t>
  </si>
  <si>
    <t>FLD0013</t>
  </si>
  <si>
    <t>F2</t>
  </si>
  <si>
    <t>FLD0014</t>
  </si>
  <si>
    <t>G2</t>
  </si>
  <si>
    <t>FLD0015</t>
  </si>
  <si>
    <t>H2</t>
  </si>
  <si>
    <t>FLD0016</t>
  </si>
  <si>
    <t>A3</t>
  </si>
  <si>
    <t>FLD0017</t>
  </si>
  <si>
    <t>B3</t>
  </si>
  <si>
    <t>FLD0018</t>
  </si>
  <si>
    <t>C3</t>
  </si>
  <si>
    <t>FLD0019</t>
  </si>
  <si>
    <t>D3</t>
  </si>
  <si>
    <t>FLD0020</t>
  </si>
  <si>
    <t>E3</t>
  </si>
  <si>
    <t>FLD0021</t>
  </si>
  <si>
    <t>F3</t>
  </si>
  <si>
    <t>FLD0022</t>
  </si>
  <si>
    <t>G3</t>
  </si>
  <si>
    <t>FLD0023</t>
  </si>
  <si>
    <t>H3</t>
  </si>
  <si>
    <t>FLD0024</t>
  </si>
  <si>
    <t>A4</t>
  </si>
  <si>
    <t>FLD0025</t>
  </si>
  <si>
    <t>B4</t>
  </si>
  <si>
    <t>FLD0026</t>
  </si>
  <si>
    <t>C4</t>
  </si>
  <si>
    <t>FLD0027</t>
  </si>
  <si>
    <t>D4</t>
  </si>
  <si>
    <t>FLD0028</t>
  </si>
  <si>
    <t>E4</t>
  </si>
  <si>
    <t>FLD0029</t>
  </si>
  <si>
    <t>F4</t>
  </si>
  <si>
    <t>FLD0030</t>
  </si>
  <si>
    <t>G4</t>
  </si>
  <si>
    <t>FLD0031</t>
  </si>
  <si>
    <t>H4</t>
  </si>
  <si>
    <t>FLD0032</t>
  </si>
  <si>
    <t>A5</t>
  </si>
  <si>
    <t>FLD0033</t>
  </si>
  <si>
    <t>B5</t>
  </si>
  <si>
    <t>FLD0034</t>
  </si>
  <si>
    <t>C5</t>
  </si>
  <si>
    <t>FLD0035</t>
  </si>
  <si>
    <t>D5</t>
  </si>
  <si>
    <t>FLD0036</t>
  </si>
  <si>
    <t>E5</t>
  </si>
  <si>
    <t>FLD0037</t>
  </si>
  <si>
    <t>F5</t>
  </si>
  <si>
    <t>FLD0038</t>
  </si>
  <si>
    <t>G5</t>
  </si>
  <si>
    <t>FLD0039</t>
  </si>
  <si>
    <t>H5</t>
  </si>
  <si>
    <t>FLD0040</t>
  </si>
  <si>
    <t>A6</t>
  </si>
  <si>
    <t>FLD0041</t>
  </si>
  <si>
    <t>B6</t>
  </si>
  <si>
    <t>FLD0042</t>
  </si>
  <si>
    <t>C6</t>
  </si>
  <si>
    <t>FLD0043</t>
  </si>
  <si>
    <t>D6</t>
  </si>
  <si>
    <t>FLD0044</t>
  </si>
  <si>
    <t>E6</t>
  </si>
  <si>
    <t>FLD0045</t>
  </si>
  <si>
    <t>F6</t>
  </si>
  <si>
    <t>FLD0046</t>
  </si>
  <si>
    <t>G6</t>
  </si>
  <si>
    <t>FLD0047</t>
  </si>
  <si>
    <t>H6</t>
  </si>
  <si>
    <t>FLD0048</t>
  </si>
  <si>
    <t>A7</t>
  </si>
  <si>
    <t>FLD0049</t>
  </si>
  <si>
    <t>B7</t>
  </si>
  <si>
    <t>FLD0050</t>
  </si>
  <si>
    <t>C7</t>
  </si>
  <si>
    <t>FLD0051</t>
  </si>
  <si>
    <t>D7</t>
  </si>
  <si>
    <t>FLD0052</t>
  </si>
  <si>
    <t>E7</t>
  </si>
  <si>
    <t>FLD0053</t>
  </si>
  <si>
    <t>F7</t>
  </si>
  <si>
    <t>FLD0054</t>
  </si>
  <si>
    <t>G7</t>
  </si>
  <si>
    <t>FLD0055</t>
  </si>
  <si>
    <t>H7</t>
  </si>
  <si>
    <t>FLD0056</t>
  </si>
  <si>
    <t>A8</t>
  </si>
  <si>
    <t>FLD0057</t>
  </si>
  <si>
    <t>B8</t>
  </si>
  <si>
    <t>FLD0058</t>
  </si>
  <si>
    <t>C8</t>
  </si>
  <si>
    <t>FLD0059</t>
  </si>
  <si>
    <t>D8</t>
  </si>
  <si>
    <t>FLD0060</t>
  </si>
  <si>
    <t>E8</t>
  </si>
  <si>
    <t>FLD0061</t>
  </si>
  <si>
    <t>F8</t>
  </si>
  <si>
    <t>FLD0062</t>
  </si>
  <si>
    <t>G8</t>
  </si>
  <si>
    <t>FLD0063</t>
  </si>
  <si>
    <t>H8</t>
  </si>
  <si>
    <t>FLD0064</t>
  </si>
  <si>
    <t>A9</t>
  </si>
  <si>
    <t>FLD0065</t>
  </si>
  <si>
    <t>B9</t>
  </si>
  <si>
    <t>FLD0066</t>
  </si>
  <si>
    <t>C9</t>
  </si>
  <si>
    <t>FLD0067</t>
  </si>
  <si>
    <t>D9</t>
  </si>
  <si>
    <t>FLD0068</t>
  </si>
  <si>
    <t>E9</t>
  </si>
  <si>
    <t>FLD0069</t>
  </si>
  <si>
    <t>F9</t>
  </si>
  <si>
    <t>FLD0070</t>
  </si>
  <si>
    <t>G9</t>
  </si>
  <si>
    <t>FLD0071</t>
  </si>
  <si>
    <t>H9</t>
  </si>
  <si>
    <t>FLD0072</t>
  </si>
  <si>
    <t>A10</t>
  </si>
  <si>
    <t>FLD0073</t>
  </si>
  <si>
    <t>B10</t>
  </si>
  <si>
    <t>FLD0074</t>
  </si>
  <si>
    <t>C10</t>
  </si>
  <si>
    <t>FLD0075</t>
  </si>
  <si>
    <t>D10</t>
  </si>
  <si>
    <t>FLD0076</t>
  </si>
  <si>
    <t>E10</t>
  </si>
  <si>
    <t>FLD0077</t>
  </si>
  <si>
    <t>F10</t>
  </si>
  <si>
    <t>FLD0078</t>
  </si>
  <si>
    <t>G10</t>
  </si>
  <si>
    <t>FLD0079</t>
  </si>
  <si>
    <t>H10</t>
  </si>
  <si>
    <t>FLD0080</t>
  </si>
  <si>
    <t>A11</t>
  </si>
  <si>
    <t>FLD0081</t>
  </si>
  <si>
    <t>B11</t>
  </si>
  <si>
    <t>FLD0082</t>
  </si>
  <si>
    <t>C11</t>
  </si>
  <si>
    <t>FLD0083</t>
  </si>
  <si>
    <t>D11</t>
  </si>
  <si>
    <t>FLD0084</t>
  </si>
  <si>
    <t>E11</t>
  </si>
  <si>
    <t>FLD0085</t>
  </si>
  <si>
    <t>F11</t>
  </si>
  <si>
    <t>FLD0086</t>
  </si>
  <si>
    <t>G11</t>
  </si>
  <si>
    <t>FLD0087</t>
  </si>
  <si>
    <t>H11</t>
  </si>
  <si>
    <t>FLD0088</t>
  </si>
  <si>
    <t>A12</t>
  </si>
  <si>
    <t>FLD0089</t>
  </si>
  <si>
    <t>B12</t>
  </si>
  <si>
    <t>FLD0090</t>
  </si>
  <si>
    <t>C12</t>
  </si>
  <si>
    <t>FLD0091</t>
  </si>
  <si>
    <t>D12</t>
  </si>
  <si>
    <t>FLD0092</t>
  </si>
  <si>
    <t>E12</t>
  </si>
  <si>
    <t>FLD0093</t>
  </si>
  <si>
    <t>F12</t>
  </si>
  <si>
    <t>FLD0094</t>
  </si>
  <si>
    <t>G12</t>
  </si>
  <si>
    <t>NTC1</t>
  </si>
  <si>
    <t>FLD0095</t>
  </si>
  <si>
    <t>H12</t>
  </si>
  <si>
    <t>NC3</t>
  </si>
  <si>
    <t>FLD0096</t>
  </si>
  <si>
    <t>NC4</t>
  </si>
  <si>
    <t>FLD0097</t>
  </si>
  <si>
    <t>FLD0098</t>
  </si>
  <si>
    <t>FLD0099</t>
  </si>
  <si>
    <t>FLD0100</t>
  </si>
  <si>
    <t>FLD0101</t>
  </si>
  <si>
    <t>FLD0102</t>
  </si>
  <si>
    <t>FLD0103</t>
  </si>
  <si>
    <t>FLD0104</t>
  </si>
  <si>
    <t>FLD0105</t>
  </si>
  <si>
    <t>FLD0106</t>
  </si>
  <si>
    <t>FLD0107</t>
  </si>
  <si>
    <t>FLD0108</t>
  </si>
  <si>
    <t>FLD0109</t>
  </si>
  <si>
    <t>FLD0110</t>
  </si>
  <si>
    <t>FLD0111</t>
  </si>
  <si>
    <t>FLD0112</t>
  </si>
  <si>
    <t>FLD0113</t>
  </si>
  <si>
    <t>FLD0114</t>
  </si>
  <si>
    <t>FLD0115</t>
  </si>
  <si>
    <t>FLD0116</t>
  </si>
  <si>
    <t>FLD0117</t>
  </si>
  <si>
    <t>FLD0118</t>
  </si>
  <si>
    <t>FLD0119</t>
  </si>
  <si>
    <t>FLD0120</t>
  </si>
  <si>
    <t>FLD0121</t>
  </si>
  <si>
    <t>FLD0122</t>
  </si>
  <si>
    <t>FLD0123</t>
  </si>
  <si>
    <t>FLD0124</t>
  </si>
  <si>
    <t>FLD0125</t>
  </si>
  <si>
    <t>FLD0126</t>
  </si>
  <si>
    <t>FLD0127</t>
  </si>
  <si>
    <t>FLD0128</t>
  </si>
  <si>
    <t>FLD0129</t>
  </si>
  <si>
    <t>FLD0130</t>
  </si>
  <si>
    <t>FLD0131</t>
  </si>
  <si>
    <t>FLD0132</t>
  </si>
  <si>
    <t>FLD0133</t>
  </si>
  <si>
    <t>FLD0134</t>
  </si>
  <si>
    <t>FLD0135</t>
  </si>
  <si>
    <t>FLD0136</t>
  </si>
  <si>
    <t>FLD0137</t>
  </si>
  <si>
    <t>FLD0138</t>
  </si>
  <si>
    <t>FLD0139</t>
  </si>
  <si>
    <t>FLD0140</t>
  </si>
  <si>
    <t>FLD0141</t>
  </si>
  <si>
    <t>FLD0142</t>
  </si>
  <si>
    <t>FLD0143</t>
  </si>
  <si>
    <t>FLD0144</t>
  </si>
  <si>
    <t>FLD0145</t>
  </si>
  <si>
    <t>FLD0146</t>
  </si>
  <si>
    <t>FLD0147</t>
  </si>
  <si>
    <t>FLD0148</t>
  </si>
  <si>
    <t>FLD0149</t>
  </si>
  <si>
    <t>FLD0150</t>
  </si>
  <si>
    <t>FLD0151</t>
  </si>
  <si>
    <t>FLD0152</t>
  </si>
  <si>
    <t>FLD0153</t>
  </si>
  <si>
    <t>FLD0154</t>
  </si>
  <si>
    <t>FLD0155</t>
  </si>
  <si>
    <t>FLD0156</t>
  </si>
  <si>
    <t>FLD0157</t>
  </si>
  <si>
    <t>FLD0158</t>
  </si>
  <si>
    <t>FLD0159</t>
  </si>
  <si>
    <t>FLD0160</t>
  </si>
  <si>
    <t>FLD0161</t>
  </si>
  <si>
    <t>FLD0162</t>
  </si>
  <si>
    <t>FLD0163</t>
  </si>
  <si>
    <t>FLD0164</t>
  </si>
  <si>
    <t>FLD0165</t>
  </si>
  <si>
    <t>FLD0166</t>
  </si>
  <si>
    <t>FLD0167</t>
  </si>
  <si>
    <t>FLD0168</t>
  </si>
  <si>
    <t>FLD0169</t>
  </si>
  <si>
    <t>FLD0170</t>
  </si>
  <si>
    <t>FLD0171</t>
  </si>
  <si>
    <t>FLD0172</t>
  </si>
  <si>
    <t>FLD0173</t>
  </si>
  <si>
    <t>FLD0174</t>
  </si>
  <si>
    <t>FLD0175</t>
  </si>
  <si>
    <t>FLD0176</t>
  </si>
  <si>
    <t>FLD0177</t>
  </si>
  <si>
    <t>FLD0178</t>
  </si>
  <si>
    <t>FLD0179</t>
  </si>
  <si>
    <t>FLD0180</t>
  </si>
  <si>
    <t>FLD0181</t>
  </si>
  <si>
    <t>FLD0182</t>
  </si>
  <si>
    <t>FLD0183</t>
  </si>
  <si>
    <t>FLD0184</t>
  </si>
  <si>
    <t>FLD0185</t>
  </si>
  <si>
    <t>FLD0186</t>
  </si>
  <si>
    <t>FLD0187</t>
  </si>
  <si>
    <t>FLD0188</t>
  </si>
  <si>
    <t>FLD0189</t>
  </si>
  <si>
    <t>FLD0190</t>
  </si>
  <si>
    <t>NC5</t>
  </si>
  <si>
    <t>FLD0191</t>
  </si>
  <si>
    <t>NTC2</t>
  </si>
  <si>
    <t>FLD0192</t>
  </si>
  <si>
    <t>NTC3</t>
  </si>
  <si>
    <t>FLD0193</t>
  </si>
  <si>
    <t>FLD0194</t>
  </si>
  <si>
    <t>FLD0195</t>
  </si>
  <si>
    <t>FLD0196</t>
  </si>
  <si>
    <t>FLD0197</t>
  </si>
  <si>
    <t>FLD0198</t>
  </si>
  <si>
    <t>FLD0199</t>
  </si>
  <si>
    <t>FLD0200</t>
  </si>
  <si>
    <t>FLD0201</t>
  </si>
  <si>
    <t>FLD0202</t>
  </si>
  <si>
    <t>FLD0203</t>
  </si>
  <si>
    <t>FLD0204</t>
  </si>
  <si>
    <t>FLD0205</t>
  </si>
  <si>
    <t>FLD0206</t>
  </si>
  <si>
    <t>FLD0207</t>
  </si>
  <si>
    <t>FLD0208</t>
  </si>
  <si>
    <t>FLD0209</t>
  </si>
  <si>
    <t>FLD0210</t>
  </si>
  <si>
    <t>FLD0211</t>
  </si>
  <si>
    <t>FLD0212</t>
  </si>
  <si>
    <t>FLD0213</t>
  </si>
  <si>
    <t>FLD0214</t>
  </si>
  <si>
    <t>FLD0215</t>
  </si>
  <si>
    <t>FLD0216</t>
  </si>
  <si>
    <t>FLD0217</t>
  </si>
  <si>
    <t>FLD0218</t>
  </si>
  <si>
    <t>FLD0219</t>
  </si>
  <si>
    <t>FLD0220</t>
  </si>
  <si>
    <t>FLD0221</t>
  </si>
  <si>
    <t>FLD0222</t>
  </si>
  <si>
    <t>FLD0223</t>
  </si>
  <si>
    <t>FLD0224</t>
  </si>
  <si>
    <t>FLD0225</t>
  </si>
  <si>
    <t>FLD0226</t>
  </si>
  <si>
    <t>FLD0227</t>
  </si>
  <si>
    <t>FLD0228</t>
  </si>
  <si>
    <t>FLD0229</t>
  </si>
  <si>
    <t>FLD0230</t>
  </si>
  <si>
    <t>FLD0231</t>
  </si>
  <si>
    <t>FLD0232</t>
  </si>
  <si>
    <t>FLD0233</t>
  </si>
  <si>
    <t>FLD0234</t>
  </si>
  <si>
    <t>FLD0235</t>
  </si>
  <si>
    <t>FLD0236</t>
  </si>
  <si>
    <t>FLD0237</t>
  </si>
  <si>
    <t>FLD0238</t>
  </si>
  <si>
    <t>FLD0239</t>
  </si>
  <si>
    <t>FLD0240</t>
  </si>
  <si>
    <t>FLD0241</t>
  </si>
  <si>
    <t>FLD0242</t>
  </si>
  <si>
    <t>FLD0243</t>
  </si>
  <si>
    <t>FLD0244</t>
  </si>
  <si>
    <t>FLD0245</t>
  </si>
  <si>
    <t>FLD0246</t>
  </si>
  <si>
    <t>FLD0247</t>
  </si>
  <si>
    <t>FLD0248</t>
  </si>
  <si>
    <t>FLD0249</t>
  </si>
  <si>
    <t>FLD0250</t>
  </si>
  <si>
    <t>FLD0251</t>
  </si>
  <si>
    <t>FLD0252</t>
  </si>
  <si>
    <t>FLD0253</t>
  </si>
  <si>
    <t>FLD0254</t>
  </si>
  <si>
    <t>FLD0255</t>
  </si>
  <si>
    <t>FLD0256</t>
  </si>
  <si>
    <t>FLD0257</t>
  </si>
  <si>
    <t>FLD0258</t>
  </si>
  <si>
    <t>FLD0259</t>
  </si>
  <si>
    <t>FLD0260</t>
  </si>
  <si>
    <t>FLD0261</t>
  </si>
  <si>
    <t>FLD0262</t>
  </si>
  <si>
    <t>NA</t>
  </si>
  <si>
    <t>FLD0263</t>
  </si>
  <si>
    <t>FLD0264</t>
  </si>
  <si>
    <t>FLD0265</t>
  </si>
  <si>
    <t>FLD0266</t>
  </si>
  <si>
    <t>FLD0267</t>
  </si>
  <si>
    <t>FLD0268</t>
  </si>
  <si>
    <t>FLD0269</t>
  </si>
  <si>
    <t>FLD0270</t>
  </si>
  <si>
    <t>FLD0271</t>
  </si>
  <si>
    <t>FLD0272</t>
  </si>
  <si>
    <t>FLD0273</t>
  </si>
  <si>
    <t>FLD0274</t>
  </si>
  <si>
    <t>FLD0275</t>
  </si>
  <si>
    <t>FLD0276</t>
  </si>
  <si>
    <t>FLD0277</t>
  </si>
  <si>
    <t>FLD0278</t>
  </si>
  <si>
    <t>FLD0279</t>
  </si>
  <si>
    <t>FLD0280</t>
  </si>
  <si>
    <t>FLD0281</t>
  </si>
  <si>
    <t>FLD0282</t>
  </si>
  <si>
    <t>FLD0283</t>
  </si>
  <si>
    <t>FLD0284</t>
  </si>
  <si>
    <t>FLD0285</t>
  </si>
  <si>
    <t>FLD0286</t>
  </si>
  <si>
    <t>FLD0287</t>
  </si>
  <si>
    <t>NC8</t>
  </si>
  <si>
    <t>FLD0288</t>
  </si>
  <si>
    <t>NC9</t>
  </si>
  <si>
    <t>FLD0289</t>
  </si>
  <si>
    <t>FLD0290</t>
  </si>
  <si>
    <t>FLD0291</t>
  </si>
  <si>
    <t>FLD0292</t>
  </si>
  <si>
    <t>FLD0293</t>
  </si>
  <si>
    <t>FLD0294</t>
  </si>
  <si>
    <t>FLD0295</t>
  </si>
  <si>
    <t>FLD0296</t>
  </si>
  <si>
    <t>FLD0297</t>
  </si>
  <si>
    <t>FLD0298</t>
  </si>
  <si>
    <t>FLD0299</t>
  </si>
  <si>
    <t>FLD0300</t>
  </si>
  <si>
    <t>FLD0301</t>
  </si>
  <si>
    <t>FLD0302</t>
  </si>
  <si>
    <t>FLD0303</t>
  </si>
  <si>
    <t>FLD0304</t>
  </si>
  <si>
    <t>FLD0305</t>
  </si>
  <si>
    <t>FLD0306</t>
  </si>
  <si>
    <t>FLD0307</t>
  </si>
  <si>
    <t>FLD0308</t>
  </si>
  <si>
    <t>FLD0309</t>
  </si>
  <si>
    <t>FLD0310</t>
  </si>
  <si>
    <t>FLD0311</t>
  </si>
  <si>
    <t>FLD0312</t>
  </si>
  <si>
    <t>FLD0313</t>
  </si>
  <si>
    <t>FLD0314</t>
  </si>
  <si>
    <t>FLD0315</t>
  </si>
  <si>
    <t>FLD0316</t>
  </si>
  <si>
    <t>FLD0317</t>
  </si>
  <si>
    <t>FLD0318</t>
  </si>
  <si>
    <t>FLD0319</t>
  </si>
  <si>
    <t>FLD0320</t>
  </si>
  <si>
    <t>FLD0321</t>
  </si>
  <si>
    <t>FLD0322</t>
  </si>
  <si>
    <t>FLD0323</t>
  </si>
  <si>
    <t>FLD0324</t>
  </si>
  <si>
    <t>FLD0325</t>
  </si>
  <si>
    <t>FLD0326</t>
  </si>
  <si>
    <t>FLD0327</t>
  </si>
  <si>
    <t>FLD0328</t>
  </si>
  <si>
    <t>FLD0329</t>
  </si>
  <si>
    <t>FLD0330</t>
  </si>
  <si>
    <t>FLD0331</t>
  </si>
  <si>
    <t>FLD0332</t>
  </si>
  <si>
    <t>FLD0333</t>
  </si>
  <si>
    <t>FLD0334</t>
  </si>
  <si>
    <t>FLD0335</t>
  </si>
  <si>
    <t>FLD0336</t>
  </si>
  <si>
    <t>FLD0337</t>
  </si>
  <si>
    <t>FLD0338</t>
  </si>
  <si>
    <t>FLD0339</t>
  </si>
  <si>
    <t>FLD0340</t>
  </si>
  <si>
    <t>FLD0341</t>
  </si>
  <si>
    <t>FLD0342</t>
  </si>
  <si>
    <t>FLD0343</t>
  </si>
  <si>
    <t>FLD0344</t>
  </si>
  <si>
    <t>FLD0345</t>
  </si>
  <si>
    <t>FLD0346</t>
  </si>
  <si>
    <t>FLD0347</t>
  </si>
  <si>
    <t>FLD0348</t>
  </si>
  <si>
    <t>FLD0349</t>
  </si>
  <si>
    <t>FLD0350</t>
  </si>
  <si>
    <t>FLD0351</t>
  </si>
  <si>
    <t>FLD0352</t>
  </si>
  <si>
    <t>FLD0353</t>
  </si>
  <si>
    <t>FLD0354</t>
  </si>
  <si>
    <t>FLD0355</t>
  </si>
  <si>
    <t>FLD0356</t>
  </si>
  <si>
    <t>FLD0357</t>
  </si>
  <si>
    <t>FLD0358</t>
  </si>
  <si>
    <t>FLD0359</t>
  </si>
  <si>
    <t>FLD0360</t>
  </si>
  <si>
    <t>FLD0361</t>
  </si>
  <si>
    <t>FLD0362</t>
  </si>
  <si>
    <t>FLD0363</t>
  </si>
  <si>
    <t>FLD0364</t>
  </si>
  <si>
    <t>FLD0365</t>
  </si>
  <si>
    <t>FLD0366</t>
  </si>
  <si>
    <t>FLD0367</t>
  </si>
  <si>
    <t>FLD0368</t>
  </si>
  <si>
    <t>FLD0369</t>
  </si>
  <si>
    <t>FLD0370</t>
  </si>
  <si>
    <t>FLD0371</t>
  </si>
  <si>
    <t>FLD0372</t>
  </si>
  <si>
    <t>FLD0373</t>
  </si>
  <si>
    <t>FLD0374</t>
  </si>
  <si>
    <t>FLD0375</t>
  </si>
  <si>
    <t>FLD0376</t>
  </si>
  <si>
    <t>NTC4</t>
  </si>
  <si>
    <t>FLD0377</t>
  </si>
  <si>
    <t>NC11</t>
  </si>
  <si>
    <t>FLD0378</t>
  </si>
  <si>
    <t>FLD0379</t>
  </si>
  <si>
    <t>FLD0380</t>
  </si>
  <si>
    <t>FLD0381</t>
  </si>
  <si>
    <t>FLD0382</t>
  </si>
  <si>
    <t>FLD0383</t>
  </si>
  <si>
    <t>FLD0384</t>
  </si>
  <si>
    <t>SampleID</t>
  </si>
  <si>
    <t>Plastic</t>
  </si>
  <si>
    <t>Plant</t>
  </si>
  <si>
    <t>Concentration</t>
  </si>
  <si>
    <t>AccessArray_barcode</t>
  </si>
  <si>
    <t>Source_plate</t>
  </si>
  <si>
    <t>Source_well</t>
  </si>
  <si>
    <t>AccessArray_Plate</t>
  </si>
  <si>
    <t>Root56</t>
  </si>
  <si>
    <t>Root103</t>
  </si>
  <si>
    <t>Root33</t>
  </si>
  <si>
    <t>Root337</t>
  </si>
  <si>
    <t>Soil459</t>
  </si>
  <si>
    <t>Soil458</t>
  </si>
  <si>
    <t>Sand26</t>
  </si>
  <si>
    <t>Root465</t>
  </si>
  <si>
    <t>Sand127</t>
  </si>
  <si>
    <t>Root433</t>
  </si>
  <si>
    <t>Soil435</t>
  </si>
  <si>
    <t>Root32</t>
  </si>
  <si>
    <t>Root363</t>
  </si>
  <si>
    <t>Root338</t>
  </si>
  <si>
    <t>Root105</t>
  </si>
  <si>
    <t>Root224</t>
  </si>
  <si>
    <t>Soil267</t>
  </si>
  <si>
    <t>Root458</t>
  </si>
  <si>
    <t>Root267</t>
  </si>
  <si>
    <t>Sand7</t>
  </si>
  <si>
    <t>Root201</t>
  </si>
  <si>
    <t>Soil290</t>
  </si>
  <si>
    <t>Sand105</t>
  </si>
  <si>
    <t>Root459</t>
  </si>
  <si>
    <t>Root127</t>
  </si>
  <si>
    <t>Root223</t>
  </si>
  <si>
    <t>Soil235</t>
  </si>
  <si>
    <t>Root435</t>
  </si>
  <si>
    <t>Soil337</t>
  </si>
  <si>
    <t>Root315</t>
  </si>
  <si>
    <t>Soil253</t>
  </si>
  <si>
    <t>Root128</t>
  </si>
  <si>
    <t>Sand31</t>
  </si>
  <si>
    <t>Sand33</t>
  </si>
  <si>
    <t>Soil313</t>
  </si>
  <si>
    <t>Root199</t>
  </si>
  <si>
    <t>Root266</t>
  </si>
  <si>
    <t>Root104</t>
  </si>
  <si>
    <t>Soil364</t>
  </si>
  <si>
    <t>Root80</t>
  </si>
  <si>
    <t>Sand1</t>
  </si>
  <si>
    <t>Sand81</t>
  </si>
  <si>
    <t>Root362</t>
  </si>
  <si>
    <t>Sand2</t>
  </si>
  <si>
    <t>Sand55</t>
  </si>
  <si>
    <t>Soil241</t>
  </si>
  <si>
    <t>Root81</t>
  </si>
  <si>
    <t>Root79</t>
  </si>
  <si>
    <t>Sand103</t>
  </si>
  <si>
    <t>Soil291</t>
  </si>
  <si>
    <t>Sand201</t>
  </si>
  <si>
    <t>Sand80</t>
  </si>
  <si>
    <t>Soil363</t>
  </si>
  <si>
    <t>Sand104</t>
  </si>
  <si>
    <t>Sand225</t>
  </si>
  <si>
    <t>Soil315</t>
  </si>
  <si>
    <t>Root265</t>
  </si>
  <si>
    <t>Soil289</t>
  </si>
  <si>
    <t>Root434</t>
  </si>
  <si>
    <t>Root314</t>
  </si>
  <si>
    <t>Soil260</t>
  </si>
  <si>
    <t>Root364</t>
  </si>
  <si>
    <t>Root289</t>
  </si>
  <si>
    <t>Root129</t>
  </si>
  <si>
    <t>Sand224</t>
  </si>
  <si>
    <t>Soil266</t>
  </si>
  <si>
    <t>Root55</t>
  </si>
  <si>
    <t>Soil259</t>
  </si>
  <si>
    <t>Soil314</t>
  </si>
  <si>
    <t>Sand223</t>
  </si>
  <si>
    <t>Sand128</t>
  </si>
  <si>
    <t>Root291</t>
  </si>
  <si>
    <t>Soil362</t>
  </si>
  <si>
    <t>Root457</t>
  </si>
  <si>
    <t>Soil433</t>
  </si>
  <si>
    <t>Sand200</t>
  </si>
  <si>
    <t>Sand32</t>
  </si>
  <si>
    <t>Root290</t>
  </si>
  <si>
    <t>Root200</t>
  </si>
  <si>
    <t>Root225</t>
  </si>
  <si>
    <t>Soil236</t>
  </si>
  <si>
    <t>Sand56</t>
  </si>
  <si>
    <t>Sand19</t>
  </si>
  <si>
    <t>Root313</t>
  </si>
  <si>
    <t>Sand79</t>
  </si>
  <si>
    <t>Sand199</t>
  </si>
  <si>
    <t>Soil434</t>
  </si>
  <si>
    <t>Sand129</t>
  </si>
  <si>
    <t>Sand25</t>
  </si>
  <si>
    <t>Soil265</t>
  </si>
  <si>
    <t>Root31</t>
  </si>
  <si>
    <t>Soil457</t>
  </si>
  <si>
    <t>Soil338</t>
  </si>
  <si>
    <t>Root60</t>
  </si>
  <si>
    <t>Root106</t>
  </si>
  <si>
    <t>Root58</t>
  </si>
  <si>
    <t>Root339</t>
  </si>
  <si>
    <t>Soil462</t>
  </si>
  <si>
    <t>Soil461</t>
  </si>
  <si>
    <t>Sand28</t>
  </si>
  <si>
    <t>Root468</t>
  </si>
  <si>
    <t>Sand130</t>
  </si>
  <si>
    <t>Root436</t>
  </si>
  <si>
    <t>Soil439</t>
  </si>
  <si>
    <t>Root36</t>
  </si>
  <si>
    <t>Root365</t>
  </si>
  <si>
    <t>Root340</t>
  </si>
  <si>
    <t>Root108</t>
  </si>
  <si>
    <t>Root227</t>
  </si>
  <si>
    <t>Soil270</t>
  </si>
  <si>
    <t>Root461</t>
  </si>
  <si>
    <t>Root270</t>
  </si>
  <si>
    <t>Sand8</t>
  </si>
  <si>
    <t>Root204</t>
  </si>
  <si>
    <t>Soil293</t>
  </si>
  <si>
    <t>Sand108</t>
  </si>
  <si>
    <t>Root462</t>
  </si>
  <si>
    <t>Root130</t>
  </si>
  <si>
    <t>Root226</t>
  </si>
  <si>
    <t>Soil237</t>
  </si>
  <si>
    <t>Root439</t>
  </si>
  <si>
    <t>Soil339</t>
  </si>
  <si>
    <t>Root318</t>
  </si>
  <si>
    <t>Soil254</t>
  </si>
  <si>
    <t>Root131</t>
  </si>
  <si>
    <t>Sand34</t>
  </si>
  <si>
    <t>Sand58</t>
  </si>
  <si>
    <t>Soil316</t>
  </si>
  <si>
    <t>Root202</t>
  </si>
  <si>
    <t>Root269</t>
  </si>
  <si>
    <t>Root107</t>
  </si>
  <si>
    <t>Soil366</t>
  </si>
  <si>
    <t>Root83</t>
  </si>
  <si>
    <t>Sand3</t>
  </si>
  <si>
    <t>Sand82</t>
  </si>
  <si>
    <t>Root341</t>
  </si>
  <si>
    <t>Sand4</t>
  </si>
  <si>
    <t>Sand59</t>
  </si>
  <si>
    <t>Soil242</t>
  </si>
  <si>
    <t>Root82</t>
  </si>
  <si>
    <t>Root84</t>
  </si>
  <si>
    <t>Sand106</t>
  </si>
  <si>
    <t>Soil294</t>
  </si>
  <si>
    <t>Sand204</t>
  </si>
  <si>
    <t>Sand83</t>
  </si>
  <si>
    <t>Soil365</t>
  </si>
  <si>
    <t>Sand107</t>
  </si>
  <si>
    <t>Sand228</t>
  </si>
  <si>
    <t>Soil318</t>
  </si>
  <si>
    <t>Root268</t>
  </si>
  <si>
    <t>Soil292</t>
  </si>
  <si>
    <t>Root437</t>
  </si>
  <si>
    <t>Root317</t>
  </si>
  <si>
    <t>Soil262</t>
  </si>
  <si>
    <t>Root366</t>
  </si>
  <si>
    <t>Root292</t>
  </si>
  <si>
    <t>Root132</t>
  </si>
  <si>
    <t>Sand227</t>
  </si>
  <si>
    <t>Soil269</t>
  </si>
  <si>
    <t>Root59</t>
  </si>
  <si>
    <t>Soil261</t>
  </si>
  <si>
    <t>Soil317</t>
  </si>
  <si>
    <t>Sand226</t>
  </si>
  <si>
    <t>Sand131</t>
  </si>
  <si>
    <t>Root294</t>
  </si>
  <si>
    <t>Soil341</t>
  </si>
  <si>
    <t>Root460</t>
  </si>
  <si>
    <t>Soil436</t>
  </si>
  <si>
    <t>Sand203</t>
  </si>
  <si>
    <t>Sand36</t>
  </si>
  <si>
    <t>Root293</t>
  </si>
  <si>
    <t>Root203</t>
  </si>
  <si>
    <t>Root228</t>
  </si>
  <si>
    <t>Soil238</t>
  </si>
  <si>
    <t>Sand60</t>
  </si>
  <si>
    <t>Sand20</t>
  </si>
  <si>
    <t>Root316</t>
  </si>
  <si>
    <t>Sand84</t>
  </si>
  <si>
    <t>Sand202</t>
  </si>
  <si>
    <t>Soil437</t>
  </si>
  <si>
    <t>Sand132</t>
  </si>
  <si>
    <t>Sand27</t>
  </si>
  <si>
    <t>Soil268</t>
  </si>
  <si>
    <t>Root34</t>
  </si>
  <si>
    <t>Soil460</t>
  </si>
  <si>
    <t>Soil340</t>
  </si>
  <si>
    <t>Root61</t>
  </si>
  <si>
    <t>Root86</t>
  </si>
  <si>
    <t>Root38</t>
  </si>
  <si>
    <t>Root320</t>
  </si>
  <si>
    <t>Soil464</t>
  </si>
  <si>
    <t>Soil463</t>
  </si>
  <si>
    <t>Sand29</t>
  </si>
  <si>
    <t>Root464</t>
  </si>
  <si>
    <t>Sand112</t>
  </si>
  <si>
    <t>Root367</t>
  </si>
  <si>
    <t>Soil440</t>
  </si>
  <si>
    <t>Root37</t>
  </si>
  <si>
    <t>Root343</t>
  </si>
  <si>
    <t>Root321</t>
  </si>
  <si>
    <t>Root110</t>
  </si>
  <si>
    <t>Root207</t>
  </si>
  <si>
    <t>Soil272</t>
  </si>
  <si>
    <t>Root441</t>
  </si>
  <si>
    <t>Root271</t>
  </si>
  <si>
    <t>Sand10</t>
  </si>
  <si>
    <t>Root205</t>
  </si>
  <si>
    <t>Soil295</t>
  </si>
  <si>
    <t>Sand111</t>
  </si>
  <si>
    <t>Root463</t>
  </si>
  <si>
    <t>Root111</t>
  </si>
  <si>
    <t>Root206</t>
  </si>
  <si>
    <t>Sand231</t>
  </si>
  <si>
    <t>Root369</t>
  </si>
  <si>
    <t>Soil321</t>
  </si>
  <si>
    <t>Root319</t>
  </si>
  <si>
    <t>Soil244</t>
  </si>
  <si>
    <t>Root112</t>
  </si>
  <si>
    <t>Sand37</t>
  </si>
  <si>
    <t>Sand39</t>
  </si>
  <si>
    <t>Soil297</t>
  </si>
  <si>
    <t>Root134</t>
  </si>
  <si>
    <t>Root231</t>
  </si>
  <si>
    <t>Root87</t>
  </si>
  <si>
    <t>Soil367</t>
  </si>
  <si>
    <t>Root63</t>
  </si>
  <si>
    <t>Sand5</t>
  </si>
  <si>
    <t>Sand63</t>
  </si>
  <si>
    <t>Root342</t>
  </si>
  <si>
    <t>Sand9</t>
  </si>
  <si>
    <t>Sand61</t>
  </si>
  <si>
    <t>Soil243</t>
  </si>
  <si>
    <t>Root62</t>
  </si>
  <si>
    <t>Root85</t>
  </si>
  <si>
    <t>Sand87</t>
  </si>
  <si>
    <t>Soil296</t>
  </si>
  <si>
    <t>Sand206</t>
  </si>
  <si>
    <t>Sand85</t>
  </si>
  <si>
    <t>Soil344</t>
  </si>
  <si>
    <t>Sand110</t>
  </si>
  <si>
    <t>Sand230</t>
  </si>
  <si>
    <t>Soil320</t>
  </si>
  <si>
    <t>Root230</t>
  </si>
  <si>
    <t>Soil273</t>
  </si>
  <si>
    <t>Root368</t>
  </si>
  <si>
    <t>Root297</t>
  </si>
  <si>
    <t>Soil256</t>
  </si>
  <si>
    <t>Root344</t>
  </si>
  <si>
    <t>Root272</t>
  </si>
  <si>
    <t>Root133</t>
  </si>
  <si>
    <t>Sand229</t>
  </si>
  <si>
    <t>Soil271</t>
  </si>
  <si>
    <t>Root39</t>
  </si>
  <si>
    <t>Soil255</t>
  </si>
  <si>
    <t>Soil319</t>
  </si>
  <si>
    <t>Sand133</t>
  </si>
  <si>
    <t>Root295</t>
  </si>
  <si>
    <t>Soil343</t>
  </si>
  <si>
    <t>Root440</t>
  </si>
  <si>
    <t>Soil368</t>
  </si>
  <si>
    <t>Sand205</t>
  </si>
  <si>
    <t>Sand38</t>
  </si>
  <si>
    <t>Root273</t>
  </si>
  <si>
    <t>Root135</t>
  </si>
  <si>
    <t>Root229</t>
  </si>
  <si>
    <t>Soil239</t>
  </si>
  <si>
    <t>Sand62</t>
  </si>
  <si>
    <t>Sand21</t>
  </si>
  <si>
    <t>Root296</t>
  </si>
  <si>
    <t>Sand86</t>
  </si>
  <si>
    <t>Sand135</t>
  </si>
  <si>
    <t>Soil369</t>
  </si>
  <si>
    <t>Sand134</t>
  </si>
  <si>
    <t>Sand22</t>
  </si>
  <si>
    <t>Soil263</t>
  </si>
  <si>
    <t>Soil465</t>
  </si>
  <si>
    <t>Soil441</t>
  </si>
  <si>
    <t>Soil342</t>
  </si>
  <si>
    <t>Sand207</t>
  </si>
  <si>
    <t>Root64</t>
  </si>
  <si>
    <t>Root89</t>
  </si>
  <si>
    <t>Root41</t>
  </si>
  <si>
    <t>Root324</t>
  </si>
  <si>
    <t>Soil467</t>
  </si>
  <si>
    <t>Soil466</t>
  </si>
  <si>
    <t>Sand30</t>
  </si>
  <si>
    <t>Root467</t>
  </si>
  <si>
    <t>Sand136</t>
  </si>
  <si>
    <t>Root371</t>
  </si>
  <si>
    <t>Soil443</t>
  </si>
  <si>
    <t>Root40</t>
  </si>
  <si>
    <t>Root348</t>
  </si>
  <si>
    <t>Root345</t>
  </si>
  <si>
    <t>Root113</t>
  </si>
  <si>
    <t>Root232</t>
  </si>
  <si>
    <t>Soil276</t>
  </si>
  <si>
    <t>Root444</t>
  </si>
  <si>
    <t>Root275</t>
  </si>
  <si>
    <t>Sand12</t>
  </si>
  <si>
    <t>Root209</t>
  </si>
  <si>
    <t>Soil299</t>
  </si>
  <si>
    <t>Sand114</t>
  </si>
  <si>
    <t>Root466</t>
  </si>
  <si>
    <t>Root114</t>
  </si>
  <si>
    <t>Root210</t>
  </si>
  <si>
    <t>Soil240</t>
  </si>
  <si>
    <t>Root442</t>
  </si>
  <si>
    <t>Soil345</t>
  </si>
  <si>
    <t>Root323</t>
  </si>
  <si>
    <t>Soil257</t>
  </si>
  <si>
    <t>Root136</t>
  </si>
  <si>
    <t>Sand40</t>
  </si>
  <si>
    <t>Sand42</t>
  </si>
  <si>
    <t>Soil322</t>
  </si>
  <si>
    <t>Root138</t>
  </si>
  <si>
    <t>Root274</t>
  </si>
  <si>
    <t>Root90</t>
  </si>
  <si>
    <t>Soil371</t>
  </si>
  <si>
    <t>Root66</t>
  </si>
  <si>
    <t>Sand6</t>
  </si>
  <si>
    <t>Sand66</t>
  </si>
  <si>
    <t>Root347</t>
  </si>
  <si>
    <t>Sand11</t>
  </si>
  <si>
    <t>Sand64</t>
  </si>
  <si>
    <t>Soil246</t>
  </si>
  <si>
    <t>Root65</t>
  </si>
  <si>
    <t>Root88</t>
  </si>
  <si>
    <t>Sand90</t>
  </si>
  <si>
    <t>Soil300</t>
  </si>
  <si>
    <t>Sand210</t>
  </si>
  <si>
    <t>Sand88</t>
  </si>
  <si>
    <t>Soil370</t>
  </si>
  <si>
    <t>Sand113</t>
  </si>
  <si>
    <t>Sand234</t>
  </si>
  <si>
    <t>Soil324</t>
  </si>
  <si>
    <t>Root234</t>
  </si>
  <si>
    <t>Soil298</t>
  </si>
  <si>
    <t>Root372</t>
  </si>
  <si>
    <t>Root322</t>
  </si>
  <si>
    <t>Soil264</t>
  </si>
  <si>
    <t>Root370</t>
  </si>
  <si>
    <t>Root276</t>
  </si>
  <si>
    <t>Root137</t>
  </si>
  <si>
    <t>Sand233</t>
  </si>
  <si>
    <t>Soil275</t>
  </si>
  <si>
    <t>Root42</t>
  </si>
  <si>
    <t>Soil258</t>
  </si>
  <si>
    <t>Soil323</t>
  </si>
  <si>
    <t>Sand232</t>
  </si>
  <si>
    <t>Sand137</t>
  </si>
  <si>
    <t>Root299</t>
  </si>
  <si>
    <t>Soil348</t>
  </si>
  <si>
    <t>Root443</t>
  </si>
  <si>
    <t>Soil372</t>
  </si>
  <si>
    <t>Sand209</t>
  </si>
  <si>
    <t>Sand41</t>
  </si>
  <si>
    <t>Root298</t>
  </si>
  <si>
    <t>Root208</t>
  </si>
  <si>
    <t>Root233</t>
  </si>
  <si>
    <t>Soil245</t>
  </si>
  <si>
    <t>Sand65</t>
  </si>
  <si>
    <t>Sand23</t>
  </si>
  <si>
    <t>Root300</t>
  </si>
  <si>
    <t>Sand89</t>
  </si>
  <si>
    <t>Sand208</t>
  </si>
  <si>
    <t>Soil442</t>
  </si>
  <si>
    <t>Sand138</t>
  </si>
  <si>
    <t>Sand24</t>
  </si>
  <si>
    <t>Soil274</t>
  </si>
  <si>
    <t>Soil468</t>
  </si>
  <si>
    <t>Soil444</t>
  </si>
  <si>
    <t>Soil347</t>
  </si>
  <si>
    <t>negative_control</t>
  </si>
  <si>
    <t>No_template_control</t>
  </si>
  <si>
    <t>CTRL_substrate_microplastic_10</t>
  </si>
  <si>
    <t>CTRL_substrate_macroplastic_10</t>
  </si>
  <si>
    <t>CTRL_substrate_starch_10</t>
  </si>
  <si>
    <t>microplastic_3</t>
  </si>
  <si>
    <t>microplastic_10</t>
  </si>
  <si>
    <t>macroplastic_3</t>
  </si>
  <si>
    <t>macroplastic_10</t>
  </si>
  <si>
    <t>starch_3</t>
  </si>
  <si>
    <t>starch_10</t>
  </si>
  <si>
    <t>3</t>
  </si>
  <si>
    <t>10</t>
  </si>
  <si>
    <t>contaminated</t>
  </si>
  <si>
    <t>Root_sand</t>
  </si>
  <si>
    <t>Root_soil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</si>
</sst>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D8EA-27CE-CA40-B70A-A3C4B8283FB3}">
  <dimension ref="A1:K385"/>
  <sheetViews>
    <sheetView tabSelected="1" workbookViewId="0">
      <selection activeCell="R20" sqref="R20"/>
    </sheetView>
  </sheetViews>
  <sheetFormatPr baseColWidth="10" defaultRowHeight="16" x14ac:dyDescent="0.2"/>
  <cols>
    <col min="1" max="1" width="12.5" style="4" bestFit="1" customWidth="1"/>
    <col min="2" max="2" width="28.83203125" bestFit="1" customWidth="1"/>
    <col min="3" max="4" width="12.5" bestFit="1" customWidth="1"/>
    <col min="5" max="5" width="12.5" style="7" bestFit="1" customWidth="1"/>
    <col min="6" max="6" width="12.5" bestFit="1" customWidth="1"/>
    <col min="7" max="7" width="18.6640625" bestFit="1" customWidth="1"/>
    <col min="8" max="8" width="11.83203125" style="1" bestFit="1" customWidth="1"/>
    <col min="9" max="9" width="11.1640625" style="1" bestFit="1" customWidth="1"/>
    <col min="10" max="10" width="16.33203125" style="6" bestFit="1" customWidth="1"/>
  </cols>
  <sheetData>
    <row r="1" spans="1:11" ht="34" customHeight="1" thickBot="1" x14ac:dyDescent="0.25">
      <c r="A1" s="10" t="s">
        <v>498</v>
      </c>
      <c r="B1" s="10" t="s">
        <v>0</v>
      </c>
      <c r="C1" s="10" t="s">
        <v>499</v>
      </c>
      <c r="D1" s="10" t="s">
        <v>500</v>
      </c>
      <c r="E1" s="10" t="s">
        <v>501</v>
      </c>
      <c r="F1" s="10" t="s">
        <v>1</v>
      </c>
      <c r="G1" s="10" t="s">
        <v>502</v>
      </c>
      <c r="H1" s="10" t="s">
        <v>503</v>
      </c>
      <c r="I1" s="10" t="s">
        <v>504</v>
      </c>
      <c r="J1" s="10" t="s">
        <v>505</v>
      </c>
      <c r="K1" s="17"/>
    </row>
    <row r="2" spans="1:11" x14ac:dyDescent="0.2">
      <c r="A2" s="8" t="s">
        <v>3</v>
      </c>
      <c r="B2" t="s">
        <v>878</v>
      </c>
      <c r="C2" t="s">
        <v>371</v>
      </c>
      <c r="D2" t="s">
        <v>371</v>
      </c>
      <c r="E2" s="7" t="s">
        <v>371</v>
      </c>
      <c r="F2" t="s">
        <v>371</v>
      </c>
      <c r="G2" s="9" t="s">
        <v>4</v>
      </c>
      <c r="H2" s="9">
        <v>13</v>
      </c>
      <c r="I2" s="9" t="s">
        <v>2</v>
      </c>
      <c r="J2" s="6" t="s">
        <v>2</v>
      </c>
    </row>
    <row r="3" spans="1:11" x14ac:dyDescent="0.2">
      <c r="A3" s="4" t="s">
        <v>506</v>
      </c>
      <c r="B3" t="s">
        <v>883</v>
      </c>
      <c r="C3" t="str">
        <f>LEFT(B3,FIND("_",B3)-1)</f>
        <v>microplastic</v>
      </c>
      <c r="D3" t="b">
        <f>IF(C3="CTRL",FALSE,TRUE)</f>
        <v>1</v>
      </c>
      <c r="E3" s="7" t="s">
        <v>889</v>
      </c>
      <c r="F3" t="s">
        <v>892</v>
      </c>
      <c r="G3" s="1" t="s">
        <v>6</v>
      </c>
      <c r="H3" s="1">
        <v>13</v>
      </c>
      <c r="I3" s="1" t="s">
        <v>5</v>
      </c>
      <c r="J3" s="6" t="s">
        <v>2</v>
      </c>
    </row>
    <row r="4" spans="1:11" x14ac:dyDescent="0.2">
      <c r="A4" s="4" t="s">
        <v>507</v>
      </c>
      <c r="B4" t="s">
        <v>887</v>
      </c>
      <c r="C4" t="str">
        <f>LEFT(B4,FIND("_",B4)-1)</f>
        <v>starch</v>
      </c>
      <c r="D4" t="b">
        <f>IF(C4="CTRL",FALSE,TRUE)</f>
        <v>1</v>
      </c>
      <c r="E4" s="7" t="s">
        <v>889</v>
      </c>
      <c r="F4" t="s">
        <v>892</v>
      </c>
      <c r="G4" s="1" t="s">
        <v>8</v>
      </c>
      <c r="H4" s="1">
        <v>13</v>
      </c>
      <c r="I4" s="1" t="s">
        <v>7</v>
      </c>
      <c r="J4" s="6" t="s">
        <v>2</v>
      </c>
    </row>
    <row r="5" spans="1:11" x14ac:dyDescent="0.2">
      <c r="A5" s="4" t="s">
        <v>508</v>
      </c>
      <c r="B5" t="s">
        <v>10</v>
      </c>
      <c r="C5" t="str">
        <f>LEFT(B5,FIND("_",B5)-1)</f>
        <v>CTRL</v>
      </c>
      <c r="D5" t="b">
        <v>1</v>
      </c>
      <c r="E5" s="7">
        <v>0</v>
      </c>
      <c r="F5" t="s">
        <v>892</v>
      </c>
      <c r="G5" s="1" t="s">
        <v>11</v>
      </c>
      <c r="H5" s="1">
        <v>13</v>
      </c>
      <c r="I5" s="1" t="s">
        <v>9</v>
      </c>
      <c r="J5" s="6" t="s">
        <v>2</v>
      </c>
    </row>
    <row r="6" spans="1:11" x14ac:dyDescent="0.2">
      <c r="A6" s="4" t="s">
        <v>509</v>
      </c>
      <c r="B6" t="s">
        <v>887</v>
      </c>
      <c r="C6" t="str">
        <f>LEFT(B6,FIND("_",B6)-1)</f>
        <v>starch</v>
      </c>
      <c r="D6" t="b">
        <f>IF(C6="CTRL",FALSE,TRUE)</f>
        <v>1</v>
      </c>
      <c r="E6" s="7" t="s">
        <v>889</v>
      </c>
      <c r="F6" t="s">
        <v>893</v>
      </c>
      <c r="G6" s="1" t="s">
        <v>13</v>
      </c>
      <c r="H6" s="1">
        <v>13</v>
      </c>
      <c r="I6" s="1" t="s">
        <v>12</v>
      </c>
      <c r="J6" s="6" t="s">
        <v>2</v>
      </c>
    </row>
    <row r="7" spans="1:11" x14ac:dyDescent="0.2">
      <c r="A7" s="8" t="s">
        <v>510</v>
      </c>
      <c r="B7" s="11" t="s">
        <v>886</v>
      </c>
      <c r="C7" s="11" t="str">
        <f>LEFT(B7,FIND("_",B7)-1)</f>
        <v>macroplastic</v>
      </c>
      <c r="D7" s="11" t="b">
        <f>IF(C7="CTRL",FALSE,TRUE)</f>
        <v>1</v>
      </c>
      <c r="E7" s="18" t="s">
        <v>890</v>
      </c>
      <c r="F7" s="11" t="s">
        <v>15</v>
      </c>
      <c r="G7" s="9" t="s">
        <v>16</v>
      </c>
      <c r="H7" s="9">
        <v>13</v>
      </c>
      <c r="I7" s="9" t="s">
        <v>14</v>
      </c>
      <c r="J7" s="12" t="s">
        <v>2</v>
      </c>
    </row>
    <row r="8" spans="1:11" x14ac:dyDescent="0.2">
      <c r="A8" s="4" t="s">
        <v>511</v>
      </c>
      <c r="B8" t="s">
        <v>886</v>
      </c>
      <c r="C8" t="str">
        <f>LEFT(B8,FIND("_",B8)-1)</f>
        <v>macroplastic</v>
      </c>
      <c r="D8" t="b">
        <f>IF(C8="CTRL",FALSE,TRUE)</f>
        <v>1</v>
      </c>
      <c r="E8" s="7" t="s">
        <v>890</v>
      </c>
      <c r="F8" t="s">
        <v>15</v>
      </c>
      <c r="G8" s="1" t="s">
        <v>18</v>
      </c>
      <c r="H8" s="1">
        <v>13</v>
      </c>
      <c r="I8" s="1" t="s">
        <v>17</v>
      </c>
      <c r="J8" s="6" t="s">
        <v>2</v>
      </c>
    </row>
    <row r="9" spans="1:11" x14ac:dyDescent="0.2">
      <c r="A9" s="4" t="s">
        <v>512</v>
      </c>
      <c r="B9" t="s">
        <v>20</v>
      </c>
      <c r="C9" t="str">
        <f>LEFT(B9,FIND("_",B9)-1)</f>
        <v>CTRL</v>
      </c>
      <c r="D9" t="b">
        <f>IF(C9="CTRL",FALSE,TRUE)</f>
        <v>0</v>
      </c>
      <c r="E9" s="7">
        <v>0</v>
      </c>
      <c r="F9" t="s">
        <v>21</v>
      </c>
      <c r="G9" s="1" t="s">
        <v>22</v>
      </c>
      <c r="H9" s="1">
        <v>13</v>
      </c>
      <c r="I9" s="1" t="s">
        <v>19</v>
      </c>
      <c r="J9" s="6" t="s">
        <v>2</v>
      </c>
    </row>
    <row r="10" spans="1:11" x14ac:dyDescent="0.2">
      <c r="A10" s="4" t="s">
        <v>513</v>
      </c>
      <c r="B10" t="s">
        <v>886</v>
      </c>
      <c r="C10" t="str">
        <f>LEFT(B10,FIND("_",B10)-1)</f>
        <v>macroplastic</v>
      </c>
      <c r="D10" t="b">
        <f>IF(C10="CTRL",FALSE,TRUE)</f>
        <v>1</v>
      </c>
      <c r="E10" s="7" t="s">
        <v>890</v>
      </c>
      <c r="F10" t="s">
        <v>893</v>
      </c>
      <c r="G10" s="1" t="s">
        <v>24</v>
      </c>
      <c r="H10" s="1">
        <v>13</v>
      </c>
      <c r="I10" s="1" t="s">
        <v>23</v>
      </c>
      <c r="J10" s="6" t="s">
        <v>2</v>
      </c>
    </row>
    <row r="11" spans="1:11" x14ac:dyDescent="0.2">
      <c r="A11" s="4" t="s">
        <v>514</v>
      </c>
      <c r="B11" t="s">
        <v>888</v>
      </c>
      <c r="C11" t="str">
        <f>LEFT(B11,FIND("_",B11)-1)</f>
        <v>starch</v>
      </c>
      <c r="D11" t="b">
        <f>IF(C11="CTRL",FALSE,TRUE)</f>
        <v>1</v>
      </c>
      <c r="E11" s="7" t="s">
        <v>890</v>
      </c>
      <c r="F11" t="s">
        <v>21</v>
      </c>
      <c r="G11" s="1" t="s">
        <v>26</v>
      </c>
      <c r="H11" s="1">
        <v>13</v>
      </c>
      <c r="I11" s="1" t="s">
        <v>25</v>
      </c>
      <c r="J11" s="6" t="s">
        <v>2</v>
      </c>
    </row>
    <row r="12" spans="1:11" x14ac:dyDescent="0.2">
      <c r="A12" s="4" t="s">
        <v>515</v>
      </c>
      <c r="B12" t="s">
        <v>885</v>
      </c>
      <c r="C12" t="str">
        <f>LEFT(B12,FIND("_",B12)-1)</f>
        <v>macroplastic</v>
      </c>
      <c r="D12" t="b">
        <f>IF(C12="CTRL",FALSE,TRUE)</f>
        <v>1</v>
      </c>
      <c r="E12" s="7" t="s">
        <v>889</v>
      </c>
      <c r="F12" t="s">
        <v>893</v>
      </c>
      <c r="G12" s="1" t="s">
        <v>28</v>
      </c>
      <c r="H12" s="1">
        <v>13</v>
      </c>
      <c r="I12" s="1" t="s">
        <v>27</v>
      </c>
      <c r="J12" s="6" t="s">
        <v>2</v>
      </c>
    </row>
    <row r="13" spans="1:11" x14ac:dyDescent="0.2">
      <c r="A13" s="4" t="s">
        <v>516</v>
      </c>
      <c r="B13" t="s">
        <v>885</v>
      </c>
      <c r="C13" t="str">
        <f>LEFT(B13,FIND("_",B13)-1)</f>
        <v>macroplastic</v>
      </c>
      <c r="D13" t="b">
        <f>IF(C13="CTRL",FALSE,TRUE)</f>
        <v>1</v>
      </c>
      <c r="E13" s="7" t="s">
        <v>889</v>
      </c>
      <c r="F13" t="s">
        <v>15</v>
      </c>
      <c r="G13" s="1" t="s">
        <v>30</v>
      </c>
      <c r="H13" s="1">
        <v>13</v>
      </c>
      <c r="I13" s="1" t="s">
        <v>29</v>
      </c>
      <c r="J13" s="6" t="s">
        <v>2</v>
      </c>
    </row>
    <row r="14" spans="1:11" x14ac:dyDescent="0.2">
      <c r="A14" s="4" t="s">
        <v>517</v>
      </c>
      <c r="B14" t="s">
        <v>10</v>
      </c>
      <c r="C14" t="str">
        <f>LEFT(B14,FIND("_",B14)-1)</f>
        <v>CTRL</v>
      </c>
      <c r="D14" t="b">
        <v>1</v>
      </c>
      <c r="E14" s="7">
        <v>0</v>
      </c>
      <c r="F14" t="s">
        <v>892</v>
      </c>
      <c r="G14" s="1" t="s">
        <v>32</v>
      </c>
      <c r="H14" s="1">
        <v>13</v>
      </c>
      <c r="I14" s="1" t="s">
        <v>31</v>
      </c>
      <c r="J14" s="6" t="s">
        <v>2</v>
      </c>
    </row>
    <row r="15" spans="1:11" x14ac:dyDescent="0.2">
      <c r="A15" s="4" t="s">
        <v>518</v>
      </c>
      <c r="B15" t="s">
        <v>888</v>
      </c>
      <c r="C15" t="str">
        <f>LEFT(B15,FIND("_",B15)-1)</f>
        <v>starch</v>
      </c>
      <c r="D15" t="b">
        <f>IF(C15="CTRL",FALSE,TRUE)</f>
        <v>1</v>
      </c>
      <c r="E15" s="7" t="s">
        <v>890</v>
      </c>
      <c r="F15" t="s">
        <v>893</v>
      </c>
      <c r="G15" s="1" t="s">
        <v>34</v>
      </c>
      <c r="H15" s="1">
        <v>13</v>
      </c>
      <c r="I15" s="1" t="s">
        <v>33</v>
      </c>
      <c r="J15" s="6" t="s">
        <v>2</v>
      </c>
    </row>
    <row r="16" spans="1:11" x14ac:dyDescent="0.2">
      <c r="A16" s="4" t="s">
        <v>519</v>
      </c>
      <c r="B16" t="s">
        <v>887</v>
      </c>
      <c r="C16" t="str">
        <f>LEFT(B16,FIND("_",B16)-1)</f>
        <v>starch</v>
      </c>
      <c r="D16" t="b">
        <f>IF(C16="CTRL",FALSE,TRUE)</f>
        <v>1</v>
      </c>
      <c r="E16" s="7" t="s">
        <v>889</v>
      </c>
      <c r="F16" t="s">
        <v>893</v>
      </c>
      <c r="G16" s="1" t="s">
        <v>36</v>
      </c>
      <c r="H16" s="1">
        <v>13</v>
      </c>
      <c r="I16" s="1" t="s">
        <v>35</v>
      </c>
      <c r="J16" s="6" t="s">
        <v>2</v>
      </c>
    </row>
    <row r="17" spans="1:10" x14ac:dyDescent="0.2">
      <c r="A17" s="4" t="s">
        <v>520</v>
      </c>
      <c r="B17" t="s">
        <v>887</v>
      </c>
      <c r="C17" t="str">
        <f>LEFT(B17,FIND("_",B17)-1)</f>
        <v>starch</v>
      </c>
      <c r="D17" t="b">
        <f>IF(C17="CTRL",FALSE,TRUE)</f>
        <v>1</v>
      </c>
      <c r="E17" s="7" t="s">
        <v>889</v>
      </c>
      <c r="F17" t="s">
        <v>892</v>
      </c>
      <c r="G17" s="1" t="s">
        <v>38</v>
      </c>
      <c r="H17" s="1">
        <v>13</v>
      </c>
      <c r="I17" s="1" t="s">
        <v>37</v>
      </c>
      <c r="J17" s="6" t="s">
        <v>2</v>
      </c>
    </row>
    <row r="18" spans="1:10" x14ac:dyDescent="0.2">
      <c r="A18" s="4" t="s">
        <v>521</v>
      </c>
      <c r="B18" t="s">
        <v>886</v>
      </c>
      <c r="C18" t="str">
        <f>LEFT(B18,FIND("_",B18)-1)</f>
        <v>macroplastic</v>
      </c>
      <c r="D18" t="b">
        <f>IF(C18="CTRL",FALSE,TRUE)</f>
        <v>1</v>
      </c>
      <c r="E18" s="7" t="s">
        <v>890</v>
      </c>
      <c r="F18" t="s">
        <v>892</v>
      </c>
      <c r="G18" s="1" t="s">
        <v>40</v>
      </c>
      <c r="H18" s="1">
        <v>13</v>
      </c>
      <c r="I18" s="1" t="s">
        <v>39</v>
      </c>
      <c r="J18" s="6" t="s">
        <v>2</v>
      </c>
    </row>
    <row r="19" spans="1:10" x14ac:dyDescent="0.2">
      <c r="A19" s="4" t="s">
        <v>522</v>
      </c>
      <c r="B19" t="s">
        <v>10</v>
      </c>
      <c r="C19" t="str">
        <f>LEFT(B19,FIND("_",B19)-1)</f>
        <v>CTRL</v>
      </c>
      <c r="D19" t="b">
        <v>1</v>
      </c>
      <c r="E19" s="7">
        <v>0</v>
      </c>
      <c r="F19" t="s">
        <v>15</v>
      </c>
      <c r="G19" s="1" t="s">
        <v>42</v>
      </c>
      <c r="H19" s="1">
        <v>13</v>
      </c>
      <c r="I19" s="1" t="s">
        <v>41</v>
      </c>
      <c r="J19" s="6" t="s">
        <v>2</v>
      </c>
    </row>
    <row r="20" spans="1:10" x14ac:dyDescent="0.2">
      <c r="A20" s="4" t="s">
        <v>523</v>
      </c>
      <c r="B20" t="s">
        <v>886</v>
      </c>
      <c r="C20" t="str">
        <f>LEFT(B20,FIND("_",B20)-1)</f>
        <v>macroplastic</v>
      </c>
      <c r="D20" t="b">
        <f>IF(C20="CTRL",FALSE,TRUE)</f>
        <v>1</v>
      </c>
      <c r="E20" s="7" t="s">
        <v>890</v>
      </c>
      <c r="F20" t="s">
        <v>893</v>
      </c>
      <c r="G20" s="1" t="s">
        <v>44</v>
      </c>
      <c r="H20" s="1">
        <v>13</v>
      </c>
      <c r="I20" s="1" t="s">
        <v>43</v>
      </c>
      <c r="J20" s="6" t="s">
        <v>2</v>
      </c>
    </row>
    <row r="21" spans="1:10" x14ac:dyDescent="0.2">
      <c r="A21" s="4" t="s">
        <v>524</v>
      </c>
      <c r="B21" t="s">
        <v>10</v>
      </c>
      <c r="C21" t="str">
        <f>LEFT(B21,FIND("_",B21)-1)</f>
        <v>CTRL</v>
      </c>
      <c r="D21" t="b">
        <v>1</v>
      </c>
      <c r="E21" s="7">
        <v>0</v>
      </c>
      <c r="F21" t="s">
        <v>893</v>
      </c>
      <c r="G21" s="1" t="s">
        <v>46</v>
      </c>
      <c r="H21" s="1">
        <v>13</v>
      </c>
      <c r="I21" s="1" t="s">
        <v>45</v>
      </c>
      <c r="J21" s="6" t="s">
        <v>2</v>
      </c>
    </row>
    <row r="22" spans="1:10" x14ac:dyDescent="0.2">
      <c r="A22" s="4" t="s">
        <v>525</v>
      </c>
      <c r="B22" t="s">
        <v>882</v>
      </c>
      <c r="C22" t="str">
        <f>LEFT(B22,FIND("_",B22)-1)</f>
        <v>CTRL</v>
      </c>
      <c r="D22" t="b">
        <f>IF(C22="CTRL",FALSE,TRUE)</f>
        <v>0</v>
      </c>
      <c r="E22" s="7">
        <v>10</v>
      </c>
      <c r="F22" t="s">
        <v>21</v>
      </c>
      <c r="G22" s="1" t="s">
        <v>48</v>
      </c>
      <c r="H22" s="1">
        <v>13</v>
      </c>
      <c r="I22" s="1" t="s">
        <v>47</v>
      </c>
      <c r="J22" s="6" t="s">
        <v>2</v>
      </c>
    </row>
    <row r="23" spans="1:10" x14ac:dyDescent="0.2">
      <c r="A23" s="4" t="s">
        <v>526</v>
      </c>
      <c r="B23" t="s">
        <v>885</v>
      </c>
      <c r="C23" t="str">
        <f>LEFT(B23,FIND("_",B23)-1)</f>
        <v>macroplastic</v>
      </c>
      <c r="D23" t="b">
        <f>IF(C23="CTRL",FALSE,TRUE)</f>
        <v>1</v>
      </c>
      <c r="E23" s="7" t="s">
        <v>889</v>
      </c>
      <c r="F23" t="s">
        <v>892</v>
      </c>
      <c r="G23" s="1" t="s">
        <v>50</v>
      </c>
      <c r="H23" s="1">
        <v>13</v>
      </c>
      <c r="I23" s="1" t="s">
        <v>49</v>
      </c>
      <c r="J23" s="6" t="s">
        <v>2</v>
      </c>
    </row>
    <row r="24" spans="1:10" x14ac:dyDescent="0.2">
      <c r="A24" s="4" t="s">
        <v>527</v>
      </c>
      <c r="B24" t="s">
        <v>883</v>
      </c>
      <c r="C24" t="str">
        <f>LEFT(B24,FIND("_",B24)-1)</f>
        <v>microplastic</v>
      </c>
      <c r="D24" t="b">
        <f>IF(C24="CTRL",FALSE,TRUE)</f>
        <v>1</v>
      </c>
      <c r="E24" s="7" t="s">
        <v>889</v>
      </c>
      <c r="F24" t="s">
        <v>15</v>
      </c>
      <c r="G24" s="1" t="s">
        <v>52</v>
      </c>
      <c r="H24" s="1">
        <v>13</v>
      </c>
      <c r="I24" s="1" t="s">
        <v>51</v>
      </c>
      <c r="J24" s="6" t="s">
        <v>2</v>
      </c>
    </row>
    <row r="25" spans="1:10" x14ac:dyDescent="0.2">
      <c r="A25" s="4" t="s">
        <v>528</v>
      </c>
      <c r="B25" t="s">
        <v>887</v>
      </c>
      <c r="C25" t="str">
        <f>LEFT(B25,FIND("_",B25)-1)</f>
        <v>starch</v>
      </c>
      <c r="D25" t="b">
        <f>IF(C25="CTRL",FALSE,TRUE)</f>
        <v>1</v>
      </c>
      <c r="E25" s="7" t="s">
        <v>889</v>
      </c>
      <c r="F25" t="s">
        <v>21</v>
      </c>
      <c r="G25" s="1" t="s">
        <v>54</v>
      </c>
      <c r="H25" s="1">
        <v>13</v>
      </c>
      <c r="I25" s="1" t="s">
        <v>53</v>
      </c>
      <c r="J25" s="6" t="s">
        <v>2</v>
      </c>
    </row>
    <row r="26" spans="1:10" x14ac:dyDescent="0.2">
      <c r="A26" s="4" t="s">
        <v>529</v>
      </c>
      <c r="B26" t="s">
        <v>886</v>
      </c>
      <c r="C26" t="str">
        <f>LEFT(B26,FIND("_",B26)-1)</f>
        <v>macroplastic</v>
      </c>
      <c r="D26" t="b">
        <f>IF(C26="CTRL",FALSE,TRUE)</f>
        <v>1</v>
      </c>
      <c r="E26" s="7" t="s">
        <v>890</v>
      </c>
      <c r="F26" t="s">
        <v>893</v>
      </c>
      <c r="G26" s="1" t="s">
        <v>56</v>
      </c>
      <c r="H26" s="1">
        <v>13</v>
      </c>
      <c r="I26" s="1" t="s">
        <v>55</v>
      </c>
      <c r="J26" s="6" t="s">
        <v>2</v>
      </c>
    </row>
    <row r="27" spans="1:10" x14ac:dyDescent="0.2">
      <c r="A27" s="4" t="s">
        <v>530</v>
      </c>
      <c r="B27" t="s">
        <v>888</v>
      </c>
      <c r="C27" t="str">
        <f>LEFT(B27,FIND("_",B27)-1)</f>
        <v>starch</v>
      </c>
      <c r="D27" t="b">
        <f>IF(C27="CTRL",FALSE,TRUE)</f>
        <v>1</v>
      </c>
      <c r="E27" s="7" t="s">
        <v>890</v>
      </c>
      <c r="F27" t="s">
        <v>892</v>
      </c>
      <c r="G27" s="1" t="s">
        <v>58</v>
      </c>
      <c r="H27" s="1">
        <v>13</v>
      </c>
      <c r="I27" s="1" t="s">
        <v>57</v>
      </c>
      <c r="J27" s="6" t="s">
        <v>2</v>
      </c>
    </row>
    <row r="28" spans="1:10" x14ac:dyDescent="0.2">
      <c r="A28" s="4" t="s">
        <v>531</v>
      </c>
      <c r="B28" t="s">
        <v>886</v>
      </c>
      <c r="C28" t="str">
        <f>LEFT(B28,FIND("_",B28)-1)</f>
        <v>macroplastic</v>
      </c>
      <c r="D28" t="b">
        <f>IF(C28="CTRL",FALSE,TRUE)</f>
        <v>1</v>
      </c>
      <c r="E28" s="7" t="s">
        <v>890</v>
      </c>
      <c r="F28" t="s">
        <v>892</v>
      </c>
      <c r="G28" s="1" t="s">
        <v>60</v>
      </c>
      <c r="H28" s="1">
        <v>13</v>
      </c>
      <c r="I28" s="1" t="s">
        <v>59</v>
      </c>
      <c r="J28" s="6" t="s">
        <v>2</v>
      </c>
    </row>
    <row r="29" spans="1:10" x14ac:dyDescent="0.2">
      <c r="A29" s="4" t="s">
        <v>532</v>
      </c>
      <c r="B29" t="s">
        <v>880</v>
      </c>
      <c r="C29" t="str">
        <f>LEFT(B29,FIND("_",B29)-1)</f>
        <v>CTRL</v>
      </c>
      <c r="D29" t="b">
        <f>IF(C29="CTRL",FALSE,TRUE)</f>
        <v>0</v>
      </c>
      <c r="E29" s="7">
        <v>10</v>
      </c>
      <c r="F29" t="s">
        <v>15</v>
      </c>
      <c r="G29" s="1" t="s">
        <v>62</v>
      </c>
      <c r="H29" s="1">
        <v>13</v>
      </c>
      <c r="I29" s="1" t="s">
        <v>61</v>
      </c>
      <c r="J29" s="6" t="s">
        <v>2</v>
      </c>
    </row>
    <row r="30" spans="1:10" x14ac:dyDescent="0.2">
      <c r="A30" s="4" t="s">
        <v>533</v>
      </c>
      <c r="B30" t="s">
        <v>885</v>
      </c>
      <c r="C30" t="str">
        <f>LEFT(B30,FIND("_",B30)-1)</f>
        <v>macroplastic</v>
      </c>
      <c r="D30" t="b">
        <f>IF(C30="CTRL",FALSE,TRUE)</f>
        <v>1</v>
      </c>
      <c r="E30" s="7" t="s">
        <v>889</v>
      </c>
      <c r="F30" t="s">
        <v>893</v>
      </c>
      <c r="G30" s="1" t="s">
        <v>64</v>
      </c>
      <c r="H30" s="1">
        <v>13</v>
      </c>
      <c r="I30" s="1" t="s">
        <v>63</v>
      </c>
      <c r="J30" s="6" t="s">
        <v>2</v>
      </c>
    </row>
    <row r="31" spans="1:10" x14ac:dyDescent="0.2">
      <c r="A31" s="4" t="s">
        <v>534</v>
      </c>
      <c r="B31" t="s">
        <v>887</v>
      </c>
      <c r="C31" t="str">
        <f>LEFT(B31,FIND("_",B31)-1)</f>
        <v>starch</v>
      </c>
      <c r="D31" t="b">
        <f>IF(C31="CTRL",FALSE,TRUE)</f>
        <v>1</v>
      </c>
      <c r="E31" s="7" t="s">
        <v>889</v>
      </c>
      <c r="F31" t="s">
        <v>15</v>
      </c>
      <c r="G31" s="1" t="s">
        <v>66</v>
      </c>
      <c r="H31" s="1">
        <v>13</v>
      </c>
      <c r="I31" s="1" t="s">
        <v>65</v>
      </c>
      <c r="J31" s="6" t="s">
        <v>2</v>
      </c>
    </row>
    <row r="32" spans="1:10" x14ac:dyDescent="0.2">
      <c r="A32" s="4" t="s">
        <v>535</v>
      </c>
      <c r="B32" t="s">
        <v>884</v>
      </c>
      <c r="C32" t="str">
        <f>LEFT(B32,FIND("_",B32)-1)</f>
        <v>microplastic</v>
      </c>
      <c r="D32" t="b">
        <f>IF(C32="CTRL",FALSE,TRUE)</f>
        <v>1</v>
      </c>
      <c r="E32" s="7" t="s">
        <v>890</v>
      </c>
      <c r="F32" t="s">
        <v>893</v>
      </c>
      <c r="G32" s="1" t="s">
        <v>68</v>
      </c>
      <c r="H32" s="1">
        <v>13</v>
      </c>
      <c r="I32" s="1" t="s">
        <v>67</v>
      </c>
      <c r="J32" s="6" t="s">
        <v>2</v>
      </c>
    </row>
    <row r="33" spans="1:10" x14ac:dyDescent="0.2">
      <c r="A33" s="4" t="s">
        <v>536</v>
      </c>
      <c r="B33" t="s">
        <v>881</v>
      </c>
      <c r="C33" t="str">
        <f>LEFT(B33,FIND("_",B33)-1)</f>
        <v>CTRL</v>
      </c>
      <c r="D33" t="b">
        <f>IF(C33="CTRL",FALSE,TRUE)</f>
        <v>0</v>
      </c>
      <c r="E33" s="7">
        <v>10</v>
      </c>
      <c r="F33" t="s">
        <v>15</v>
      </c>
      <c r="G33" s="1" t="s">
        <v>70</v>
      </c>
      <c r="H33" s="1">
        <v>13</v>
      </c>
      <c r="I33" s="1" t="s">
        <v>69</v>
      </c>
      <c r="J33" s="6" t="s">
        <v>2</v>
      </c>
    </row>
    <row r="34" spans="1:10" x14ac:dyDescent="0.2">
      <c r="A34" s="4" t="s">
        <v>537</v>
      </c>
      <c r="B34" t="s">
        <v>888</v>
      </c>
      <c r="C34" t="str">
        <f>LEFT(B34,FIND("_",B34)-1)</f>
        <v>starch</v>
      </c>
      <c r="D34" t="b">
        <f>IF(C34="CTRL",FALSE,TRUE)</f>
        <v>1</v>
      </c>
      <c r="E34" s="7" t="s">
        <v>890</v>
      </c>
      <c r="F34" t="s">
        <v>892</v>
      </c>
      <c r="G34" s="1" t="s">
        <v>72</v>
      </c>
      <c r="H34" s="1">
        <v>13</v>
      </c>
      <c r="I34" s="1" t="s">
        <v>71</v>
      </c>
      <c r="J34" s="6" t="s">
        <v>2</v>
      </c>
    </row>
    <row r="35" spans="1:10" x14ac:dyDescent="0.2">
      <c r="A35" s="4" t="s">
        <v>538</v>
      </c>
      <c r="B35" t="s">
        <v>10</v>
      </c>
      <c r="C35" t="str">
        <f>LEFT(B35,FIND("_",B35)-1)</f>
        <v>CTRL</v>
      </c>
      <c r="D35" t="b">
        <v>1</v>
      </c>
      <c r="E35" s="7">
        <v>0</v>
      </c>
      <c r="F35" t="s">
        <v>21</v>
      </c>
      <c r="G35" s="1" t="s">
        <v>74</v>
      </c>
      <c r="H35" s="1">
        <v>13</v>
      </c>
      <c r="I35" s="1" t="s">
        <v>73</v>
      </c>
      <c r="J35" s="6" t="s">
        <v>2</v>
      </c>
    </row>
    <row r="36" spans="1:10" x14ac:dyDescent="0.2">
      <c r="A36" s="4" t="s">
        <v>539</v>
      </c>
      <c r="B36" t="s">
        <v>10</v>
      </c>
      <c r="C36" t="str">
        <f>LEFT(B36,FIND("_",B36)-1)</f>
        <v>CTRL</v>
      </c>
      <c r="D36" t="b">
        <v>1</v>
      </c>
      <c r="E36" s="7">
        <v>0</v>
      </c>
      <c r="F36" t="s">
        <v>21</v>
      </c>
      <c r="G36" s="1" t="s">
        <v>76</v>
      </c>
      <c r="H36" s="1">
        <v>13</v>
      </c>
      <c r="I36" s="1" t="s">
        <v>75</v>
      </c>
      <c r="J36" s="6" t="s">
        <v>2</v>
      </c>
    </row>
    <row r="37" spans="1:10" x14ac:dyDescent="0.2">
      <c r="A37" s="4" t="s">
        <v>540</v>
      </c>
      <c r="B37" t="s">
        <v>884</v>
      </c>
      <c r="C37" t="str">
        <f>LEFT(B37,FIND("_",B37)-1)</f>
        <v>microplastic</v>
      </c>
      <c r="D37" t="b">
        <f>IF(C37="CTRL",FALSE,TRUE)</f>
        <v>1</v>
      </c>
      <c r="E37" s="7" t="s">
        <v>890</v>
      </c>
      <c r="F37" t="s">
        <v>15</v>
      </c>
      <c r="G37" s="1" t="s">
        <v>78</v>
      </c>
      <c r="H37" s="1">
        <v>13</v>
      </c>
      <c r="I37" s="1" t="s">
        <v>77</v>
      </c>
      <c r="J37" s="6" t="s">
        <v>2</v>
      </c>
    </row>
    <row r="38" spans="1:10" x14ac:dyDescent="0.2">
      <c r="A38" s="4" t="s">
        <v>541</v>
      </c>
      <c r="B38" t="s">
        <v>885</v>
      </c>
      <c r="C38" t="str">
        <f>LEFT(B38,FIND("_",B38)-1)</f>
        <v>macroplastic</v>
      </c>
      <c r="D38" t="b">
        <f>IF(C38="CTRL",FALSE,TRUE)</f>
        <v>1</v>
      </c>
      <c r="E38" s="7" t="s">
        <v>889</v>
      </c>
      <c r="F38" t="s">
        <v>892</v>
      </c>
      <c r="G38" s="1" t="s">
        <v>80</v>
      </c>
      <c r="H38" s="1">
        <v>13</v>
      </c>
      <c r="I38" s="1" t="s">
        <v>79</v>
      </c>
      <c r="J38" s="6" t="s">
        <v>2</v>
      </c>
    </row>
    <row r="39" spans="1:10" x14ac:dyDescent="0.2">
      <c r="A39" s="4" t="s">
        <v>542</v>
      </c>
      <c r="B39" t="s">
        <v>10</v>
      </c>
      <c r="C39" t="str">
        <f>LEFT(B39,FIND("_",B39)-1)</f>
        <v>CTRL</v>
      </c>
      <c r="D39" t="b">
        <v>1</v>
      </c>
      <c r="E39" s="7">
        <v>0</v>
      </c>
      <c r="F39" t="s">
        <v>893</v>
      </c>
      <c r="G39" s="1" t="s">
        <v>82</v>
      </c>
      <c r="H39" s="1">
        <v>13</v>
      </c>
      <c r="I39" s="1" t="s">
        <v>81</v>
      </c>
      <c r="J39" s="6" t="s">
        <v>2</v>
      </c>
    </row>
    <row r="40" spans="1:10" x14ac:dyDescent="0.2">
      <c r="A40" s="4" t="s">
        <v>543</v>
      </c>
      <c r="B40" t="s">
        <v>887</v>
      </c>
      <c r="C40" t="str">
        <f>LEFT(B40,FIND("_",B40)-1)</f>
        <v>starch</v>
      </c>
      <c r="D40" t="b">
        <f>IF(C40="CTRL",FALSE,TRUE)</f>
        <v>1</v>
      </c>
      <c r="E40" s="7" t="s">
        <v>889</v>
      </c>
      <c r="F40" t="s">
        <v>892</v>
      </c>
      <c r="G40" s="1" t="s">
        <v>84</v>
      </c>
      <c r="H40" s="1">
        <v>13</v>
      </c>
      <c r="I40" s="1" t="s">
        <v>83</v>
      </c>
      <c r="J40" s="6" t="s">
        <v>2</v>
      </c>
    </row>
    <row r="41" spans="1:10" x14ac:dyDescent="0.2">
      <c r="A41" s="4" t="s">
        <v>544</v>
      </c>
      <c r="B41" t="s">
        <v>888</v>
      </c>
      <c r="C41" t="str">
        <f>LEFT(B41,FIND("_",B41)-1)</f>
        <v>starch</v>
      </c>
      <c r="D41" t="b">
        <f>IF(C41="CTRL",FALSE,TRUE)</f>
        <v>1</v>
      </c>
      <c r="E41" s="7" t="s">
        <v>890</v>
      </c>
      <c r="F41" t="s">
        <v>15</v>
      </c>
      <c r="G41" s="1" t="s">
        <v>86</v>
      </c>
      <c r="H41" s="1">
        <v>13</v>
      </c>
      <c r="I41" s="1" t="s">
        <v>85</v>
      </c>
      <c r="J41" s="6" t="s">
        <v>2</v>
      </c>
    </row>
    <row r="42" spans="1:10" x14ac:dyDescent="0.2">
      <c r="A42" s="8" t="s">
        <v>545</v>
      </c>
      <c r="B42" s="11" t="s">
        <v>884</v>
      </c>
      <c r="C42" s="11" t="str">
        <f>LEFT(B42,FIND("_",B42)-1)</f>
        <v>microplastic</v>
      </c>
      <c r="D42" s="11" t="b">
        <f>IF(C42="CTRL",FALSE,TRUE)</f>
        <v>1</v>
      </c>
      <c r="E42" s="18" t="s">
        <v>890</v>
      </c>
      <c r="F42" s="11" t="s">
        <v>892</v>
      </c>
      <c r="G42" s="9" t="s">
        <v>88</v>
      </c>
      <c r="H42" s="9">
        <v>13</v>
      </c>
      <c r="I42" s="9" t="s">
        <v>87</v>
      </c>
      <c r="J42" s="12" t="s">
        <v>2</v>
      </c>
    </row>
    <row r="43" spans="1:10" x14ac:dyDescent="0.2">
      <c r="A43" s="4" t="s">
        <v>546</v>
      </c>
      <c r="B43" t="s">
        <v>880</v>
      </c>
      <c r="C43" t="str">
        <f>LEFT(B43,FIND("_",B43)-1)</f>
        <v>CTRL</v>
      </c>
      <c r="D43" t="b">
        <f>IF(C43="CTRL",FALSE,TRUE)</f>
        <v>0</v>
      </c>
      <c r="E43" s="7">
        <v>10</v>
      </c>
      <c r="F43" t="s">
        <v>21</v>
      </c>
      <c r="G43" s="1" t="s">
        <v>90</v>
      </c>
      <c r="H43" s="1">
        <v>13</v>
      </c>
      <c r="I43" s="1" t="s">
        <v>89</v>
      </c>
      <c r="J43" s="6" t="s">
        <v>2</v>
      </c>
    </row>
    <row r="44" spans="1:10" x14ac:dyDescent="0.2">
      <c r="A44" s="4" t="s">
        <v>547</v>
      </c>
      <c r="B44" t="s">
        <v>884</v>
      </c>
      <c r="C44" t="str">
        <f>LEFT(B44,FIND("_",B44)-1)</f>
        <v>microplastic</v>
      </c>
      <c r="D44" t="b">
        <f>IF(C44="CTRL",FALSE,TRUE)</f>
        <v>1</v>
      </c>
      <c r="E44" s="7" t="s">
        <v>890</v>
      </c>
      <c r="F44" t="s">
        <v>21</v>
      </c>
      <c r="G44" s="1" t="s">
        <v>92</v>
      </c>
      <c r="H44" s="1">
        <v>13</v>
      </c>
      <c r="I44" s="1" t="s">
        <v>91</v>
      </c>
      <c r="J44" s="6" t="s">
        <v>2</v>
      </c>
    </row>
    <row r="45" spans="1:10" x14ac:dyDescent="0.2">
      <c r="A45" s="4" t="s">
        <v>548</v>
      </c>
      <c r="B45" t="s">
        <v>888</v>
      </c>
      <c r="C45" t="str">
        <f>LEFT(B45,FIND("_",B45)-1)</f>
        <v>starch</v>
      </c>
      <c r="D45" t="b">
        <f>IF(C45="CTRL",FALSE,TRUE)</f>
        <v>1</v>
      </c>
      <c r="E45" s="7" t="s">
        <v>890</v>
      </c>
      <c r="F45" t="s">
        <v>893</v>
      </c>
      <c r="G45" s="1" t="s">
        <v>94</v>
      </c>
      <c r="H45" s="1">
        <v>13</v>
      </c>
      <c r="I45" s="1" t="s">
        <v>93</v>
      </c>
      <c r="J45" s="6" t="s">
        <v>2</v>
      </c>
    </row>
    <row r="46" spans="1:10" x14ac:dyDescent="0.2">
      <c r="A46" s="4" t="s">
        <v>549</v>
      </c>
      <c r="B46" t="s">
        <v>880</v>
      </c>
      <c r="C46" t="str">
        <f>LEFT(B46,FIND("_",B46)-1)</f>
        <v>CTRL</v>
      </c>
      <c r="D46" t="b">
        <f>IF(C46="CTRL",FALSE,TRUE)</f>
        <v>0</v>
      </c>
      <c r="E46" s="7">
        <v>10</v>
      </c>
      <c r="F46" t="s">
        <v>21</v>
      </c>
      <c r="G46" s="1" t="s">
        <v>96</v>
      </c>
      <c r="H46" s="1">
        <v>13</v>
      </c>
      <c r="I46" s="1" t="s">
        <v>95</v>
      </c>
      <c r="J46" s="6" t="s">
        <v>2</v>
      </c>
    </row>
    <row r="47" spans="1:10" x14ac:dyDescent="0.2">
      <c r="A47" s="4" t="s">
        <v>550</v>
      </c>
      <c r="B47" t="s">
        <v>883</v>
      </c>
      <c r="C47" t="str">
        <f>LEFT(B47,FIND("_",B47)-1)</f>
        <v>microplastic</v>
      </c>
      <c r="D47" t="b">
        <f>IF(C47="CTRL",FALSE,TRUE)</f>
        <v>1</v>
      </c>
      <c r="E47" s="7" t="s">
        <v>889</v>
      </c>
      <c r="F47" t="s">
        <v>21</v>
      </c>
      <c r="G47" s="1" t="s">
        <v>98</v>
      </c>
      <c r="H47" s="1">
        <v>13</v>
      </c>
      <c r="I47" s="1" t="s">
        <v>97</v>
      </c>
      <c r="J47" s="6" t="s">
        <v>2</v>
      </c>
    </row>
    <row r="48" spans="1:10" x14ac:dyDescent="0.2">
      <c r="A48" s="4" t="s">
        <v>551</v>
      </c>
      <c r="B48" t="s">
        <v>882</v>
      </c>
      <c r="C48" t="str">
        <f>LEFT(B48,FIND("_",B48)-1)</f>
        <v>CTRL</v>
      </c>
      <c r="D48" t="b">
        <f>IF(C48="CTRL",FALSE,TRUE)</f>
        <v>0</v>
      </c>
      <c r="E48" s="7">
        <v>10</v>
      </c>
      <c r="F48" t="s">
        <v>15</v>
      </c>
      <c r="G48" s="1" t="s">
        <v>100</v>
      </c>
      <c r="H48" s="1">
        <v>13</v>
      </c>
      <c r="I48" s="1" t="s">
        <v>99</v>
      </c>
      <c r="J48" s="6" t="s">
        <v>2</v>
      </c>
    </row>
    <row r="49" spans="1:10" x14ac:dyDescent="0.2">
      <c r="A49" s="4" t="s">
        <v>552</v>
      </c>
      <c r="B49" t="s">
        <v>884</v>
      </c>
      <c r="C49" t="str">
        <f>LEFT(B49,FIND("_",B49)-1)</f>
        <v>microplastic</v>
      </c>
      <c r="D49" t="b">
        <f>IF(C49="CTRL",FALSE,TRUE)</f>
        <v>1</v>
      </c>
      <c r="E49" s="7" t="s">
        <v>890</v>
      </c>
      <c r="F49" t="s">
        <v>892</v>
      </c>
      <c r="G49" s="1" t="s">
        <v>102</v>
      </c>
      <c r="H49" s="1">
        <v>13</v>
      </c>
      <c r="I49" s="1" t="s">
        <v>101</v>
      </c>
      <c r="J49" s="6" t="s">
        <v>2</v>
      </c>
    </row>
    <row r="50" spans="1:10" x14ac:dyDescent="0.2">
      <c r="A50" s="4" t="s">
        <v>553</v>
      </c>
      <c r="B50" t="s">
        <v>884</v>
      </c>
      <c r="C50" t="str">
        <f>LEFT(B50,FIND("_",B50)-1)</f>
        <v>microplastic</v>
      </c>
      <c r="D50" t="b">
        <f>IF(C50="CTRL",FALSE,TRUE)</f>
        <v>1</v>
      </c>
      <c r="E50" s="7" t="s">
        <v>890</v>
      </c>
      <c r="F50" t="s">
        <v>892</v>
      </c>
      <c r="G50" s="1" t="s">
        <v>104</v>
      </c>
      <c r="H50" s="1">
        <v>13</v>
      </c>
      <c r="I50" s="1" t="s">
        <v>103</v>
      </c>
      <c r="J50" s="6" t="s">
        <v>2</v>
      </c>
    </row>
    <row r="51" spans="1:10" x14ac:dyDescent="0.2">
      <c r="A51" s="4" t="s">
        <v>554</v>
      </c>
      <c r="B51" t="s">
        <v>887</v>
      </c>
      <c r="C51" t="str">
        <f>LEFT(B51,FIND("_",B51)-1)</f>
        <v>starch</v>
      </c>
      <c r="D51" t="b">
        <f>IF(C51="CTRL",FALSE,TRUE)</f>
        <v>1</v>
      </c>
      <c r="E51" s="7" t="s">
        <v>889</v>
      </c>
      <c r="F51" t="s">
        <v>21</v>
      </c>
      <c r="G51" s="1" t="s">
        <v>106</v>
      </c>
      <c r="H51" s="1">
        <v>13</v>
      </c>
      <c r="I51" s="1" t="s">
        <v>105</v>
      </c>
      <c r="J51" s="6" t="s">
        <v>2</v>
      </c>
    </row>
    <row r="52" spans="1:10" x14ac:dyDescent="0.2">
      <c r="A52" s="4" t="s">
        <v>555</v>
      </c>
      <c r="B52" t="s">
        <v>883</v>
      </c>
      <c r="C52" t="str">
        <f>LEFT(B52,FIND("_",B52)-1)</f>
        <v>microplastic</v>
      </c>
      <c r="D52" t="b">
        <f>IF(C52="CTRL",FALSE,TRUE)</f>
        <v>1</v>
      </c>
      <c r="E52" s="7" t="s">
        <v>889</v>
      </c>
      <c r="F52" t="s">
        <v>15</v>
      </c>
      <c r="G52" s="1" t="s">
        <v>108</v>
      </c>
      <c r="H52" s="1">
        <v>13</v>
      </c>
      <c r="I52" s="1" t="s">
        <v>107</v>
      </c>
      <c r="J52" s="6" t="s">
        <v>2</v>
      </c>
    </row>
    <row r="53" spans="1:10" x14ac:dyDescent="0.2">
      <c r="A53" s="4" t="s">
        <v>556</v>
      </c>
      <c r="B53" t="s">
        <v>885</v>
      </c>
      <c r="C53" t="str">
        <f>LEFT(B53,FIND("_",B53)-1)</f>
        <v>macroplastic</v>
      </c>
      <c r="D53" t="b">
        <f>IF(C53="CTRL",FALSE,TRUE)</f>
        <v>1</v>
      </c>
      <c r="E53" s="7" t="s">
        <v>889</v>
      </c>
      <c r="F53" t="s">
        <v>21</v>
      </c>
      <c r="G53" s="1" t="s">
        <v>110</v>
      </c>
      <c r="H53" s="1">
        <v>13</v>
      </c>
      <c r="I53" s="1" t="s">
        <v>109</v>
      </c>
      <c r="J53" s="6" t="s">
        <v>2</v>
      </c>
    </row>
    <row r="54" spans="1:10" x14ac:dyDescent="0.2">
      <c r="A54" s="4" t="s">
        <v>557</v>
      </c>
      <c r="B54" t="s">
        <v>884</v>
      </c>
      <c r="C54" t="str">
        <f>LEFT(B54,FIND("_",B54)-1)</f>
        <v>microplastic</v>
      </c>
      <c r="D54" t="b">
        <f>IF(C54="CTRL",FALSE,TRUE)</f>
        <v>1</v>
      </c>
      <c r="E54" s="7" t="s">
        <v>890</v>
      </c>
      <c r="F54" t="s">
        <v>21</v>
      </c>
      <c r="G54" s="1" t="s">
        <v>112</v>
      </c>
      <c r="H54" s="1">
        <v>13</v>
      </c>
      <c r="I54" s="1" t="s">
        <v>111</v>
      </c>
      <c r="J54" s="6" t="s">
        <v>2</v>
      </c>
    </row>
    <row r="55" spans="1:10" x14ac:dyDescent="0.2">
      <c r="A55" s="4" t="s">
        <v>558</v>
      </c>
      <c r="B55" t="s">
        <v>888</v>
      </c>
      <c r="C55" t="str">
        <f>LEFT(B55,FIND("_",B55)-1)</f>
        <v>starch</v>
      </c>
      <c r="D55" t="b">
        <f>IF(C55="CTRL",FALSE,TRUE)</f>
        <v>1</v>
      </c>
      <c r="E55" s="7" t="s">
        <v>890</v>
      </c>
      <c r="F55" t="s">
        <v>15</v>
      </c>
      <c r="G55" s="1" t="s">
        <v>114</v>
      </c>
      <c r="H55" s="1">
        <v>13</v>
      </c>
      <c r="I55" s="1" t="s">
        <v>113</v>
      </c>
      <c r="J55" s="6" t="s">
        <v>2</v>
      </c>
    </row>
    <row r="56" spans="1:10" x14ac:dyDescent="0.2">
      <c r="A56" s="4" t="s">
        <v>559</v>
      </c>
      <c r="B56" t="s">
        <v>887</v>
      </c>
      <c r="C56" t="str">
        <f>LEFT(B56,FIND("_",B56)-1)</f>
        <v>starch</v>
      </c>
      <c r="D56" t="b">
        <f>IF(C56="CTRL",FALSE,TRUE)</f>
        <v>1</v>
      </c>
      <c r="E56" s="7" t="s">
        <v>889</v>
      </c>
      <c r="F56" t="s">
        <v>21</v>
      </c>
      <c r="G56" s="1" t="s">
        <v>116</v>
      </c>
      <c r="H56" s="1">
        <v>13</v>
      </c>
      <c r="I56" s="1" t="s">
        <v>115</v>
      </c>
      <c r="J56" s="6" t="s">
        <v>2</v>
      </c>
    </row>
    <row r="57" spans="1:10" x14ac:dyDescent="0.2">
      <c r="A57" s="4" t="s">
        <v>560</v>
      </c>
      <c r="B57" t="s">
        <v>886</v>
      </c>
      <c r="C57" t="str">
        <f>LEFT(B57,FIND("_",B57)-1)</f>
        <v>macroplastic</v>
      </c>
      <c r="D57" t="b">
        <f>IF(C57="CTRL",FALSE,TRUE)</f>
        <v>1</v>
      </c>
      <c r="E57" s="7" t="s">
        <v>890</v>
      </c>
      <c r="F57" t="s">
        <v>21</v>
      </c>
      <c r="G57" s="1" t="s">
        <v>118</v>
      </c>
      <c r="H57" s="1">
        <v>13</v>
      </c>
      <c r="I57" s="1" t="s">
        <v>117</v>
      </c>
      <c r="J57" s="6" t="s">
        <v>2</v>
      </c>
    </row>
    <row r="58" spans="1:10" x14ac:dyDescent="0.2">
      <c r="A58" s="4" t="s">
        <v>561</v>
      </c>
      <c r="B58" t="s">
        <v>884</v>
      </c>
      <c r="C58" t="str">
        <f>LEFT(B58,FIND("_",B58)-1)</f>
        <v>microplastic</v>
      </c>
      <c r="D58" t="b">
        <f>IF(C58="CTRL",FALSE,TRUE)</f>
        <v>1</v>
      </c>
      <c r="E58" s="7" t="s">
        <v>890</v>
      </c>
      <c r="F58" t="s">
        <v>15</v>
      </c>
      <c r="G58" s="1" t="s">
        <v>120</v>
      </c>
      <c r="H58" s="1">
        <v>13</v>
      </c>
      <c r="I58" s="1" t="s">
        <v>119</v>
      </c>
      <c r="J58" s="6" t="s">
        <v>2</v>
      </c>
    </row>
    <row r="59" spans="1:10" x14ac:dyDescent="0.2">
      <c r="A59" s="4" t="s">
        <v>562</v>
      </c>
      <c r="B59" t="s">
        <v>10</v>
      </c>
      <c r="C59" t="str">
        <f>LEFT(B59,FIND("_",B59)-1)</f>
        <v>CTRL</v>
      </c>
      <c r="D59" t="b">
        <v>1</v>
      </c>
      <c r="E59" s="7">
        <v>0</v>
      </c>
      <c r="F59" t="s">
        <v>893</v>
      </c>
      <c r="G59" s="1" t="s">
        <v>122</v>
      </c>
      <c r="H59" s="1">
        <v>13</v>
      </c>
      <c r="I59" s="1" t="s">
        <v>121</v>
      </c>
      <c r="J59" s="6" t="s">
        <v>2</v>
      </c>
    </row>
    <row r="60" spans="1:10" x14ac:dyDescent="0.2">
      <c r="A60" s="4" t="s">
        <v>563</v>
      </c>
      <c r="B60" t="s">
        <v>883</v>
      </c>
      <c r="C60" t="str">
        <f>LEFT(B60,FIND("_",B60)-1)</f>
        <v>microplastic</v>
      </c>
      <c r="D60" t="b">
        <f>IF(C60="CTRL",FALSE,TRUE)</f>
        <v>1</v>
      </c>
      <c r="E60" s="7" t="s">
        <v>889</v>
      </c>
      <c r="F60" t="s">
        <v>15</v>
      </c>
      <c r="G60" s="1" t="s">
        <v>124</v>
      </c>
      <c r="H60" s="1">
        <v>13</v>
      </c>
      <c r="I60" s="1" t="s">
        <v>123</v>
      </c>
      <c r="J60" s="6" t="s">
        <v>2</v>
      </c>
    </row>
    <row r="61" spans="1:10" x14ac:dyDescent="0.2">
      <c r="A61" s="4" t="s">
        <v>564</v>
      </c>
      <c r="B61" t="s">
        <v>885</v>
      </c>
      <c r="C61" t="str">
        <f>LEFT(B61,FIND("_",B61)-1)</f>
        <v>macroplastic</v>
      </c>
      <c r="D61" t="b">
        <f>IF(C61="CTRL",FALSE,TRUE)</f>
        <v>1</v>
      </c>
      <c r="E61" s="7" t="s">
        <v>889</v>
      </c>
      <c r="F61" t="s">
        <v>893</v>
      </c>
      <c r="G61" s="1" t="s">
        <v>126</v>
      </c>
      <c r="H61" s="1">
        <v>13</v>
      </c>
      <c r="I61" s="1" t="s">
        <v>125</v>
      </c>
      <c r="J61" s="6" t="s">
        <v>2</v>
      </c>
    </row>
    <row r="62" spans="1:10" x14ac:dyDescent="0.2">
      <c r="A62" s="4" t="s">
        <v>565</v>
      </c>
      <c r="B62" t="s">
        <v>884</v>
      </c>
      <c r="C62" t="str">
        <f>LEFT(B62,FIND("_",B62)-1)</f>
        <v>microplastic</v>
      </c>
      <c r="D62" t="b">
        <f>IF(C62="CTRL",FALSE,TRUE)</f>
        <v>1</v>
      </c>
      <c r="E62" s="7" t="s">
        <v>890</v>
      </c>
      <c r="F62" t="s">
        <v>893</v>
      </c>
      <c r="G62" s="1" t="s">
        <v>128</v>
      </c>
      <c r="H62" s="1">
        <v>13</v>
      </c>
      <c r="I62" s="1" t="s">
        <v>127</v>
      </c>
      <c r="J62" s="6" t="s">
        <v>2</v>
      </c>
    </row>
    <row r="63" spans="1:10" x14ac:dyDescent="0.2">
      <c r="A63" s="4" t="s">
        <v>566</v>
      </c>
      <c r="B63" t="s">
        <v>20</v>
      </c>
      <c r="C63" t="str">
        <f>LEFT(B63,FIND("_",B63)-1)</f>
        <v>CTRL</v>
      </c>
      <c r="D63" t="b">
        <f>IF(C63="CTRL",FALSE,TRUE)</f>
        <v>0</v>
      </c>
      <c r="E63" s="7">
        <v>0</v>
      </c>
      <c r="F63" t="s">
        <v>15</v>
      </c>
      <c r="G63" s="1" t="s">
        <v>130</v>
      </c>
      <c r="H63" s="1">
        <v>13</v>
      </c>
      <c r="I63" s="1" t="s">
        <v>129</v>
      </c>
      <c r="J63" s="6" t="s">
        <v>2</v>
      </c>
    </row>
    <row r="64" spans="1:10" x14ac:dyDescent="0.2">
      <c r="A64" s="4" t="s">
        <v>567</v>
      </c>
      <c r="B64" t="s">
        <v>888</v>
      </c>
      <c r="C64" t="str">
        <f>LEFT(B64,FIND("_",B64)-1)</f>
        <v>starch</v>
      </c>
      <c r="D64" t="b">
        <f>IF(C64="CTRL",FALSE,TRUE)</f>
        <v>1</v>
      </c>
      <c r="E64" s="7" t="s">
        <v>890</v>
      </c>
      <c r="F64" t="s">
        <v>893</v>
      </c>
      <c r="G64" s="1" t="s">
        <v>132</v>
      </c>
      <c r="H64" s="1">
        <v>13</v>
      </c>
      <c r="I64" s="1" t="s">
        <v>131</v>
      </c>
      <c r="J64" s="6" t="s">
        <v>2</v>
      </c>
    </row>
    <row r="65" spans="1:10" x14ac:dyDescent="0.2">
      <c r="A65" s="4" t="s">
        <v>568</v>
      </c>
      <c r="B65" t="s">
        <v>883</v>
      </c>
      <c r="C65" t="str">
        <f>LEFT(B65,FIND("_",B65)-1)</f>
        <v>microplastic</v>
      </c>
      <c r="D65" t="b">
        <f>IF(C65="CTRL",FALSE,TRUE)</f>
        <v>1</v>
      </c>
      <c r="E65" s="7" t="s">
        <v>889</v>
      </c>
      <c r="F65" t="s">
        <v>893</v>
      </c>
      <c r="G65" s="1" t="s">
        <v>134</v>
      </c>
      <c r="H65" s="1">
        <v>13</v>
      </c>
      <c r="I65" s="1" t="s">
        <v>133</v>
      </c>
      <c r="J65" s="6" t="s">
        <v>2</v>
      </c>
    </row>
    <row r="66" spans="1:10" x14ac:dyDescent="0.2">
      <c r="A66" s="4" t="s">
        <v>569</v>
      </c>
      <c r="B66" t="s">
        <v>888</v>
      </c>
      <c r="C66" t="str">
        <f>LEFT(B66,FIND("_",B66)-1)</f>
        <v>starch</v>
      </c>
      <c r="D66" t="b">
        <f>IF(C66="CTRL",FALSE,TRUE)</f>
        <v>1</v>
      </c>
      <c r="E66" s="7" t="s">
        <v>890</v>
      </c>
      <c r="F66" t="s">
        <v>892</v>
      </c>
      <c r="G66" s="1" t="s">
        <v>136</v>
      </c>
      <c r="H66" s="1">
        <v>13</v>
      </c>
      <c r="I66" s="1" t="s">
        <v>135</v>
      </c>
      <c r="J66" s="6" t="s">
        <v>2</v>
      </c>
    </row>
    <row r="67" spans="1:10" x14ac:dyDescent="0.2">
      <c r="A67" s="4" t="s">
        <v>570</v>
      </c>
      <c r="B67" t="s">
        <v>886</v>
      </c>
      <c r="C67" t="str">
        <f>LEFT(B67,FIND("_",B67)-1)</f>
        <v>macroplastic</v>
      </c>
      <c r="D67" t="b">
        <f>IF(C67="CTRL",FALSE,TRUE)</f>
        <v>1</v>
      </c>
      <c r="E67" s="7" t="s">
        <v>890</v>
      </c>
      <c r="F67" t="s">
        <v>21</v>
      </c>
      <c r="G67" s="1" t="s">
        <v>138</v>
      </c>
      <c r="H67" s="1">
        <v>13</v>
      </c>
      <c r="I67" s="1" t="s">
        <v>137</v>
      </c>
      <c r="J67" s="6" t="s">
        <v>2</v>
      </c>
    </row>
    <row r="68" spans="1:10" x14ac:dyDescent="0.2">
      <c r="A68" s="4" t="s">
        <v>571</v>
      </c>
      <c r="B68" t="s">
        <v>10</v>
      </c>
      <c r="C68" t="str">
        <f>LEFT(B68,FIND("_",B68)-1)</f>
        <v>CTRL</v>
      </c>
      <c r="D68" t="b">
        <v>1</v>
      </c>
      <c r="E68" s="7">
        <v>0</v>
      </c>
      <c r="F68" t="s">
        <v>15</v>
      </c>
      <c r="G68" s="1" t="s">
        <v>140</v>
      </c>
      <c r="H68" s="1">
        <v>13</v>
      </c>
      <c r="I68" s="1" t="s">
        <v>139</v>
      </c>
      <c r="J68" s="6" t="s">
        <v>2</v>
      </c>
    </row>
    <row r="69" spans="1:10" x14ac:dyDescent="0.2">
      <c r="A69" s="4" t="s">
        <v>572</v>
      </c>
      <c r="B69" t="s">
        <v>883</v>
      </c>
      <c r="C69" t="str">
        <f>LEFT(B69,FIND("_",B69)-1)</f>
        <v>microplastic</v>
      </c>
      <c r="D69" t="b">
        <f>IF(C69="CTRL",FALSE,TRUE)</f>
        <v>1</v>
      </c>
      <c r="E69" s="7" t="s">
        <v>889</v>
      </c>
      <c r="F69" t="s">
        <v>892</v>
      </c>
      <c r="G69" s="1" t="s">
        <v>142</v>
      </c>
      <c r="H69" s="1">
        <v>13</v>
      </c>
      <c r="I69" s="1" t="s">
        <v>141</v>
      </c>
      <c r="J69" s="6" t="s">
        <v>2</v>
      </c>
    </row>
    <row r="70" spans="1:10" x14ac:dyDescent="0.2">
      <c r="A70" s="4" t="s">
        <v>573</v>
      </c>
      <c r="B70" t="s">
        <v>20</v>
      </c>
      <c r="C70" t="str">
        <f>LEFT(B70,FIND("_",B70)-1)</f>
        <v>CTRL</v>
      </c>
      <c r="D70" t="b">
        <f>IF(C70="CTRL",FALSE,TRUE)</f>
        <v>0</v>
      </c>
      <c r="E70" s="7">
        <v>0</v>
      </c>
      <c r="F70" t="s">
        <v>15</v>
      </c>
      <c r="G70" s="1" t="s">
        <v>144</v>
      </c>
      <c r="H70" s="1">
        <v>13</v>
      </c>
      <c r="I70" s="1" t="s">
        <v>143</v>
      </c>
      <c r="J70" s="6" t="s">
        <v>2</v>
      </c>
    </row>
    <row r="71" spans="1:10" x14ac:dyDescent="0.2">
      <c r="A71" s="4" t="s">
        <v>574</v>
      </c>
      <c r="B71" t="s">
        <v>884</v>
      </c>
      <c r="C71" t="str">
        <f>LEFT(B71,FIND("_",B71)-1)</f>
        <v>microplastic</v>
      </c>
      <c r="D71" t="b">
        <f>IF(C71="CTRL",FALSE,TRUE)</f>
        <v>1</v>
      </c>
      <c r="E71" s="7" t="s">
        <v>890</v>
      </c>
      <c r="F71" t="s">
        <v>15</v>
      </c>
      <c r="G71" s="1" t="s">
        <v>146</v>
      </c>
      <c r="H71" s="1">
        <v>13</v>
      </c>
      <c r="I71" s="1" t="s">
        <v>145</v>
      </c>
      <c r="J71" s="6" t="s">
        <v>2</v>
      </c>
    </row>
    <row r="72" spans="1:10" x14ac:dyDescent="0.2">
      <c r="A72" s="4" t="s">
        <v>575</v>
      </c>
      <c r="B72" t="s">
        <v>886</v>
      </c>
      <c r="C72" t="str">
        <f>LEFT(B72,FIND("_",B72)-1)</f>
        <v>macroplastic</v>
      </c>
      <c r="D72" t="b">
        <f>IF(C72="CTRL",FALSE,TRUE)</f>
        <v>1</v>
      </c>
      <c r="E72" s="7" t="s">
        <v>890</v>
      </c>
      <c r="F72" t="s">
        <v>21</v>
      </c>
      <c r="G72" s="1" t="s">
        <v>148</v>
      </c>
      <c r="H72" s="1">
        <v>13</v>
      </c>
      <c r="I72" s="1" t="s">
        <v>147</v>
      </c>
      <c r="J72" s="6" t="s">
        <v>2</v>
      </c>
    </row>
    <row r="73" spans="1:10" x14ac:dyDescent="0.2">
      <c r="A73" s="4" t="s">
        <v>576</v>
      </c>
      <c r="B73" t="s">
        <v>888</v>
      </c>
      <c r="C73" t="str">
        <f>LEFT(B73,FIND("_",B73)-1)</f>
        <v>starch</v>
      </c>
      <c r="D73" t="b">
        <f>IF(C73="CTRL",FALSE,TRUE)</f>
        <v>1</v>
      </c>
      <c r="E73" s="7" t="s">
        <v>890</v>
      </c>
      <c r="F73" t="s">
        <v>21</v>
      </c>
      <c r="G73" s="1" t="s">
        <v>150</v>
      </c>
      <c r="H73" s="1">
        <v>13</v>
      </c>
      <c r="I73" s="1" t="s">
        <v>149</v>
      </c>
      <c r="J73" s="6" t="s">
        <v>2</v>
      </c>
    </row>
    <row r="74" spans="1:10" x14ac:dyDescent="0.2">
      <c r="A74" s="8" t="s">
        <v>577</v>
      </c>
      <c r="B74" s="11" t="s">
        <v>883</v>
      </c>
      <c r="C74" t="str">
        <f>LEFT(B74,FIND("_",B74)-1)</f>
        <v>microplastic</v>
      </c>
      <c r="D74" t="b">
        <f>IF(C74="CTRL",FALSE,TRUE)</f>
        <v>1</v>
      </c>
      <c r="E74" s="7" t="s">
        <v>889</v>
      </c>
      <c r="F74" t="s">
        <v>893</v>
      </c>
      <c r="G74" s="9" t="s">
        <v>152</v>
      </c>
      <c r="H74" s="9">
        <v>13</v>
      </c>
      <c r="I74" s="9" t="s">
        <v>151</v>
      </c>
      <c r="J74" s="12" t="s">
        <v>2</v>
      </c>
    </row>
    <row r="75" spans="1:10" x14ac:dyDescent="0.2">
      <c r="A75" s="4" t="s">
        <v>578</v>
      </c>
      <c r="B75" t="s">
        <v>888</v>
      </c>
      <c r="C75" t="str">
        <f>LEFT(B75,FIND("_",B75)-1)</f>
        <v>starch</v>
      </c>
      <c r="D75" t="b">
        <f>IF(C75="CTRL",FALSE,TRUE)</f>
        <v>1</v>
      </c>
      <c r="E75" s="7" t="s">
        <v>890</v>
      </c>
      <c r="F75" t="s">
        <v>15</v>
      </c>
      <c r="G75" s="1" t="s">
        <v>154</v>
      </c>
      <c r="H75" s="1">
        <v>13</v>
      </c>
      <c r="I75" s="1" t="s">
        <v>153</v>
      </c>
      <c r="J75" s="6" t="s">
        <v>2</v>
      </c>
    </row>
    <row r="76" spans="1:10" x14ac:dyDescent="0.2">
      <c r="A76" s="4" t="s">
        <v>579</v>
      </c>
      <c r="B76" t="s">
        <v>886</v>
      </c>
      <c r="C76" t="str">
        <f>LEFT(B76,FIND("_",B76)-1)</f>
        <v>macroplastic</v>
      </c>
      <c r="D76" t="b">
        <f>IF(C76="CTRL",FALSE,TRUE)</f>
        <v>1</v>
      </c>
      <c r="E76" s="7" t="s">
        <v>890</v>
      </c>
      <c r="F76" t="s">
        <v>893</v>
      </c>
      <c r="G76" s="1" t="s">
        <v>156</v>
      </c>
      <c r="H76" s="1">
        <v>13</v>
      </c>
      <c r="I76" s="1" t="s">
        <v>155</v>
      </c>
      <c r="J76" s="6" t="s">
        <v>2</v>
      </c>
    </row>
    <row r="77" spans="1:10" x14ac:dyDescent="0.2">
      <c r="A77" s="4" t="s">
        <v>580</v>
      </c>
      <c r="B77" t="s">
        <v>885</v>
      </c>
      <c r="C77" t="str">
        <f>LEFT(B77,FIND("_",B77)-1)</f>
        <v>macroplastic</v>
      </c>
      <c r="D77" t="b">
        <f>IF(C77="CTRL",FALSE,TRUE)</f>
        <v>1</v>
      </c>
      <c r="E77" s="7" t="s">
        <v>889</v>
      </c>
      <c r="F77" t="s">
        <v>15</v>
      </c>
      <c r="G77" s="1" t="s">
        <v>158</v>
      </c>
      <c r="H77" s="1">
        <v>13</v>
      </c>
      <c r="I77" s="1" t="s">
        <v>157</v>
      </c>
      <c r="J77" s="6" t="s">
        <v>2</v>
      </c>
    </row>
    <row r="78" spans="1:10" x14ac:dyDescent="0.2">
      <c r="A78" s="4" t="s">
        <v>581</v>
      </c>
      <c r="B78" t="s">
        <v>885</v>
      </c>
      <c r="C78" t="str">
        <f>LEFT(B78,FIND("_",B78)-1)</f>
        <v>macroplastic</v>
      </c>
      <c r="D78" t="b">
        <f>IF(C78="CTRL",FALSE,TRUE)</f>
        <v>1</v>
      </c>
      <c r="E78" s="7" t="s">
        <v>889</v>
      </c>
      <c r="F78" t="s">
        <v>21</v>
      </c>
      <c r="G78" s="1" t="s">
        <v>160</v>
      </c>
      <c r="H78" s="1">
        <v>13</v>
      </c>
      <c r="I78" s="1" t="s">
        <v>159</v>
      </c>
      <c r="J78" s="6" t="s">
        <v>2</v>
      </c>
    </row>
    <row r="79" spans="1:10" x14ac:dyDescent="0.2">
      <c r="A79" s="4" t="s">
        <v>582</v>
      </c>
      <c r="B79" t="s">
        <v>10</v>
      </c>
      <c r="C79" t="str">
        <f>LEFT(B79,FIND("_",B79)-1)</f>
        <v>CTRL</v>
      </c>
      <c r="D79" t="b">
        <v>1</v>
      </c>
      <c r="E79" s="7">
        <v>0</v>
      </c>
      <c r="F79" t="s">
        <v>21</v>
      </c>
      <c r="G79" s="1" t="s">
        <v>162</v>
      </c>
      <c r="H79" s="1">
        <v>13</v>
      </c>
      <c r="I79" s="1" t="s">
        <v>161</v>
      </c>
      <c r="J79" s="6" t="s">
        <v>2</v>
      </c>
    </row>
    <row r="80" spans="1:10" x14ac:dyDescent="0.2">
      <c r="A80" s="4" t="s">
        <v>583</v>
      </c>
      <c r="B80" t="s">
        <v>883</v>
      </c>
      <c r="C80" t="str">
        <f>LEFT(B80,FIND("_",B80)-1)</f>
        <v>microplastic</v>
      </c>
      <c r="D80" t="b">
        <f>IF(C80="CTRL",FALSE,TRUE)</f>
        <v>1</v>
      </c>
      <c r="E80" s="7" t="s">
        <v>889</v>
      </c>
      <c r="F80" t="s">
        <v>893</v>
      </c>
      <c r="G80" s="1" t="s">
        <v>164</v>
      </c>
      <c r="H80" s="1">
        <v>13</v>
      </c>
      <c r="I80" s="1" t="s">
        <v>163</v>
      </c>
      <c r="J80" s="6" t="s">
        <v>2</v>
      </c>
    </row>
    <row r="81" spans="1:10" x14ac:dyDescent="0.2">
      <c r="A81" s="4" t="s">
        <v>584</v>
      </c>
      <c r="B81" t="s">
        <v>885</v>
      </c>
      <c r="C81" t="str">
        <f>LEFT(B81,FIND("_",B81)-1)</f>
        <v>macroplastic</v>
      </c>
      <c r="D81" t="b">
        <f>IF(C81="CTRL",FALSE,TRUE)</f>
        <v>1</v>
      </c>
      <c r="E81" s="7" t="s">
        <v>889</v>
      </c>
      <c r="F81" t="s">
        <v>892</v>
      </c>
      <c r="G81" s="1" t="s">
        <v>166</v>
      </c>
      <c r="H81" s="1">
        <v>13</v>
      </c>
      <c r="I81" s="1" t="s">
        <v>165</v>
      </c>
      <c r="J81" s="6" t="s">
        <v>2</v>
      </c>
    </row>
    <row r="82" spans="1:10" x14ac:dyDescent="0.2">
      <c r="A82" s="4" t="s">
        <v>585</v>
      </c>
      <c r="B82" t="s">
        <v>886</v>
      </c>
      <c r="C82" t="str">
        <f>LEFT(B82,FIND("_",B82)-1)</f>
        <v>macroplastic</v>
      </c>
      <c r="D82" t="b">
        <f>IF(C82="CTRL",FALSE,TRUE)</f>
        <v>1</v>
      </c>
      <c r="E82" s="7" t="s">
        <v>890</v>
      </c>
      <c r="F82" t="s">
        <v>892</v>
      </c>
      <c r="G82" s="1" t="s">
        <v>168</v>
      </c>
      <c r="H82" s="1">
        <v>13</v>
      </c>
      <c r="I82" s="1" t="s">
        <v>167</v>
      </c>
      <c r="J82" s="6" t="s">
        <v>2</v>
      </c>
    </row>
    <row r="83" spans="1:10" x14ac:dyDescent="0.2">
      <c r="A83" s="4" t="s">
        <v>586</v>
      </c>
      <c r="B83" t="s">
        <v>880</v>
      </c>
      <c r="C83" t="str">
        <f>LEFT(B83,FIND("_",B83)-1)</f>
        <v>CTRL</v>
      </c>
      <c r="D83" t="b">
        <f>IF(C83="CTRL",FALSE,TRUE)</f>
        <v>0</v>
      </c>
      <c r="E83" s="7">
        <v>10</v>
      </c>
      <c r="F83" t="s">
        <v>15</v>
      </c>
      <c r="G83" s="1" t="s">
        <v>170</v>
      </c>
      <c r="H83" s="1">
        <v>13</v>
      </c>
      <c r="I83" s="1" t="s">
        <v>169</v>
      </c>
      <c r="J83" s="6" t="s">
        <v>2</v>
      </c>
    </row>
    <row r="84" spans="1:10" x14ac:dyDescent="0.2">
      <c r="A84" s="4" t="s">
        <v>587</v>
      </c>
      <c r="B84" t="s">
        <v>883</v>
      </c>
      <c r="C84" t="str">
        <f>LEFT(B84,FIND("_",B84)-1)</f>
        <v>microplastic</v>
      </c>
      <c r="D84" t="b">
        <f>IF(C84="CTRL",FALSE,TRUE)</f>
        <v>1</v>
      </c>
      <c r="E84" s="7" t="s">
        <v>889</v>
      </c>
      <c r="F84" t="s">
        <v>21</v>
      </c>
      <c r="G84" s="1" t="s">
        <v>172</v>
      </c>
      <c r="H84" s="1">
        <v>13</v>
      </c>
      <c r="I84" s="1" t="s">
        <v>171</v>
      </c>
      <c r="J84" s="6" t="s">
        <v>2</v>
      </c>
    </row>
    <row r="85" spans="1:10" x14ac:dyDescent="0.2">
      <c r="A85" s="4" t="s">
        <v>588</v>
      </c>
      <c r="B85" t="s">
        <v>881</v>
      </c>
      <c r="C85" t="str">
        <f>LEFT(B85,FIND("_",B85)-1)</f>
        <v>CTRL</v>
      </c>
      <c r="D85" t="b">
        <f>IF(C85="CTRL",FALSE,TRUE)</f>
        <v>0</v>
      </c>
      <c r="E85" s="7">
        <v>10</v>
      </c>
      <c r="F85" t="s">
        <v>21</v>
      </c>
      <c r="G85" s="1" t="s">
        <v>174</v>
      </c>
      <c r="H85" s="1">
        <v>13</v>
      </c>
      <c r="I85" s="1" t="s">
        <v>173</v>
      </c>
      <c r="J85" s="6" t="s">
        <v>2</v>
      </c>
    </row>
    <row r="86" spans="1:10" x14ac:dyDescent="0.2">
      <c r="A86" s="4" t="s">
        <v>589</v>
      </c>
      <c r="B86" t="s">
        <v>884</v>
      </c>
      <c r="C86" t="str">
        <f>LEFT(B86,FIND("_",B86)-1)</f>
        <v>microplastic</v>
      </c>
      <c r="D86" t="b">
        <f>IF(C86="CTRL",FALSE,TRUE)</f>
        <v>1</v>
      </c>
      <c r="E86" s="7" t="s">
        <v>890</v>
      </c>
      <c r="F86" t="s">
        <v>893</v>
      </c>
      <c r="G86" s="1" t="s">
        <v>176</v>
      </c>
      <c r="H86" s="1">
        <v>13</v>
      </c>
      <c r="I86" s="1" t="s">
        <v>175</v>
      </c>
      <c r="J86" s="6" t="s">
        <v>2</v>
      </c>
    </row>
    <row r="87" spans="1:10" x14ac:dyDescent="0.2">
      <c r="A87" s="4" t="s">
        <v>590</v>
      </c>
      <c r="B87" t="s">
        <v>884</v>
      </c>
      <c r="C87" t="str">
        <f>LEFT(B87,FIND("_",B87)-1)</f>
        <v>microplastic</v>
      </c>
      <c r="D87" t="b">
        <f>IF(C87="CTRL",FALSE,TRUE)</f>
        <v>1</v>
      </c>
      <c r="E87" s="7" t="s">
        <v>890</v>
      </c>
      <c r="F87" t="s">
        <v>21</v>
      </c>
      <c r="G87" s="1" t="s">
        <v>178</v>
      </c>
      <c r="H87" s="1">
        <v>13</v>
      </c>
      <c r="I87" s="1" t="s">
        <v>177</v>
      </c>
      <c r="J87" s="6" t="s">
        <v>2</v>
      </c>
    </row>
    <row r="88" spans="1:10" x14ac:dyDescent="0.2">
      <c r="A88" s="4" t="s">
        <v>591</v>
      </c>
      <c r="B88" t="s">
        <v>885</v>
      </c>
      <c r="C88" t="str">
        <f>LEFT(B88,FIND("_",B88)-1)</f>
        <v>macroplastic</v>
      </c>
      <c r="D88" t="b">
        <f>IF(C88="CTRL",FALSE,TRUE)</f>
        <v>1</v>
      </c>
      <c r="E88" s="7" t="s">
        <v>889</v>
      </c>
      <c r="F88" t="s">
        <v>21</v>
      </c>
      <c r="G88" s="1" t="s">
        <v>180</v>
      </c>
      <c r="H88" s="1">
        <v>13</v>
      </c>
      <c r="I88" s="1" t="s">
        <v>179</v>
      </c>
      <c r="J88" s="6" t="s">
        <v>2</v>
      </c>
    </row>
    <row r="89" spans="1:10" x14ac:dyDescent="0.2">
      <c r="A89" s="4" t="s">
        <v>592</v>
      </c>
      <c r="B89" t="s">
        <v>885</v>
      </c>
      <c r="C89" t="str">
        <f>LEFT(B89,FIND("_",B89)-1)</f>
        <v>macroplastic</v>
      </c>
      <c r="D89" t="b">
        <f>IF(C89="CTRL",FALSE,TRUE)</f>
        <v>1</v>
      </c>
      <c r="E89" s="7" t="s">
        <v>889</v>
      </c>
      <c r="F89" t="s">
        <v>15</v>
      </c>
      <c r="G89" s="1" t="s">
        <v>182</v>
      </c>
      <c r="H89" s="1">
        <v>13</v>
      </c>
      <c r="I89" s="1" t="s">
        <v>181</v>
      </c>
      <c r="J89" s="6" t="s">
        <v>2</v>
      </c>
    </row>
    <row r="90" spans="1:10" x14ac:dyDescent="0.2">
      <c r="A90" s="8" t="s">
        <v>593</v>
      </c>
      <c r="B90" s="11" t="s">
        <v>888</v>
      </c>
      <c r="C90" t="str">
        <f>LEFT(B90,FIND("_",B90)-1)</f>
        <v>starch</v>
      </c>
      <c r="D90" t="b">
        <f>IF(C90="CTRL",FALSE,TRUE)</f>
        <v>1</v>
      </c>
      <c r="E90" s="7" t="s">
        <v>890</v>
      </c>
      <c r="F90" t="s">
        <v>21</v>
      </c>
      <c r="G90" s="9" t="s">
        <v>184</v>
      </c>
      <c r="H90" s="9">
        <v>13</v>
      </c>
      <c r="I90" s="9" t="s">
        <v>183</v>
      </c>
      <c r="J90" s="12" t="s">
        <v>2</v>
      </c>
    </row>
    <row r="91" spans="1:10" x14ac:dyDescent="0.2">
      <c r="A91" s="4" t="s">
        <v>594</v>
      </c>
      <c r="B91" t="s">
        <v>20</v>
      </c>
      <c r="C91" t="str">
        <f>LEFT(B91,FIND("_",B91)-1)</f>
        <v>CTRL</v>
      </c>
      <c r="D91" t="b">
        <f>IF(C91="CTRL",FALSE,TRUE)</f>
        <v>0</v>
      </c>
      <c r="E91" s="7">
        <v>0</v>
      </c>
      <c r="F91" t="s">
        <v>21</v>
      </c>
      <c r="G91" s="1" t="s">
        <v>186</v>
      </c>
      <c r="H91" s="1">
        <v>13</v>
      </c>
      <c r="I91" s="1" t="s">
        <v>185</v>
      </c>
      <c r="J91" s="6" t="s">
        <v>2</v>
      </c>
    </row>
    <row r="92" spans="1:10" x14ac:dyDescent="0.2">
      <c r="A92" s="4" t="s">
        <v>595</v>
      </c>
      <c r="B92" t="s">
        <v>10</v>
      </c>
      <c r="C92" t="str">
        <f>LEFT(B92,FIND("_",B92)-1)</f>
        <v>CTRL</v>
      </c>
      <c r="D92" t="b">
        <v>1</v>
      </c>
      <c r="E92" s="7">
        <v>0</v>
      </c>
      <c r="F92" t="s">
        <v>15</v>
      </c>
      <c r="G92" s="1" t="s">
        <v>188</v>
      </c>
      <c r="H92" s="1">
        <v>13</v>
      </c>
      <c r="I92" s="1" t="s">
        <v>187</v>
      </c>
      <c r="J92" s="6" t="s">
        <v>2</v>
      </c>
    </row>
    <row r="93" spans="1:10" x14ac:dyDescent="0.2">
      <c r="A93" s="4" t="s">
        <v>596</v>
      </c>
      <c r="B93" t="s">
        <v>10</v>
      </c>
      <c r="C93" t="str">
        <f>LEFT(B93,FIND("_",B93)-1)</f>
        <v>CTRL</v>
      </c>
      <c r="D93" t="b">
        <v>1</v>
      </c>
      <c r="E93" s="7">
        <v>0</v>
      </c>
      <c r="F93" t="s">
        <v>892</v>
      </c>
      <c r="G93" s="1" t="s">
        <v>190</v>
      </c>
      <c r="H93" s="1">
        <v>13</v>
      </c>
      <c r="I93" s="1" t="s">
        <v>189</v>
      </c>
      <c r="J93" s="6" t="s">
        <v>2</v>
      </c>
    </row>
    <row r="94" spans="1:10" x14ac:dyDescent="0.2">
      <c r="A94" s="4" t="s">
        <v>597</v>
      </c>
      <c r="B94" t="s">
        <v>886</v>
      </c>
      <c r="C94" t="str">
        <f>LEFT(B94,FIND("_",B94)-1)</f>
        <v>macroplastic</v>
      </c>
      <c r="D94" t="b">
        <f>IF(C94="CTRL",FALSE,TRUE)</f>
        <v>1</v>
      </c>
      <c r="E94" s="7" t="s">
        <v>890</v>
      </c>
      <c r="F94" t="s">
        <v>15</v>
      </c>
      <c r="G94" s="1" t="s">
        <v>192</v>
      </c>
      <c r="H94" s="1">
        <v>13</v>
      </c>
      <c r="I94" s="1" t="s">
        <v>191</v>
      </c>
      <c r="J94" s="6" t="s">
        <v>2</v>
      </c>
    </row>
    <row r="95" spans="1:10" x14ac:dyDescent="0.2">
      <c r="A95" s="4" t="s">
        <v>598</v>
      </c>
      <c r="B95" t="s">
        <v>887</v>
      </c>
      <c r="C95" t="str">
        <f>LEFT(B95,FIND("_",B95)-1)</f>
        <v>starch</v>
      </c>
      <c r="D95" t="b">
        <f>IF(C95="CTRL",FALSE,TRUE)</f>
        <v>1</v>
      </c>
      <c r="E95" s="7" t="s">
        <v>889</v>
      </c>
      <c r="F95" t="s">
        <v>15</v>
      </c>
      <c r="G95" s="1" t="s">
        <v>194</v>
      </c>
      <c r="H95" s="1">
        <v>13</v>
      </c>
      <c r="I95" s="1" t="s">
        <v>193</v>
      </c>
      <c r="J95" s="6" t="s">
        <v>2</v>
      </c>
    </row>
    <row r="96" spans="1:10" x14ac:dyDescent="0.2">
      <c r="A96" s="4" t="s">
        <v>196</v>
      </c>
      <c r="B96" t="s">
        <v>879</v>
      </c>
      <c r="C96" t="s">
        <v>371</v>
      </c>
      <c r="D96" t="s">
        <v>371</v>
      </c>
      <c r="E96" s="7" t="s">
        <v>371</v>
      </c>
      <c r="F96" s="7" t="s">
        <v>371</v>
      </c>
      <c r="G96" s="1" t="s">
        <v>197</v>
      </c>
      <c r="H96" s="1">
        <v>13</v>
      </c>
      <c r="I96" s="1" t="s">
        <v>195</v>
      </c>
      <c r="J96" s="6" t="s">
        <v>2</v>
      </c>
    </row>
    <row r="97" spans="1:10" ht="17" thickBot="1" x14ac:dyDescent="0.25">
      <c r="A97" s="13" t="s">
        <v>199</v>
      </c>
      <c r="B97" s="10" t="s">
        <v>878</v>
      </c>
      <c r="C97" s="10" t="s">
        <v>371</v>
      </c>
      <c r="D97" s="10" t="s">
        <v>371</v>
      </c>
      <c r="E97" s="14" t="s">
        <v>371</v>
      </c>
      <c r="F97" s="14" t="s">
        <v>371</v>
      </c>
      <c r="G97" s="15" t="s">
        <v>200</v>
      </c>
      <c r="H97" s="15">
        <v>13</v>
      </c>
      <c r="I97" s="15" t="s">
        <v>198</v>
      </c>
      <c r="J97" s="16" t="s">
        <v>2</v>
      </c>
    </row>
    <row r="98" spans="1:10" x14ac:dyDescent="0.2">
      <c r="A98" s="4" t="s">
        <v>201</v>
      </c>
      <c r="B98" t="s">
        <v>878</v>
      </c>
      <c r="C98" t="s">
        <v>371</v>
      </c>
      <c r="D98" t="s">
        <v>371</v>
      </c>
      <c r="E98" s="7" t="s">
        <v>371</v>
      </c>
      <c r="F98" s="7" t="s">
        <v>371</v>
      </c>
      <c r="G98" s="1" t="s">
        <v>301</v>
      </c>
      <c r="H98" s="1">
        <v>14</v>
      </c>
      <c r="I98" s="1" t="s">
        <v>2</v>
      </c>
      <c r="J98" s="6" t="s">
        <v>39</v>
      </c>
    </row>
    <row r="99" spans="1:10" x14ac:dyDescent="0.2">
      <c r="A99" s="4" t="s">
        <v>599</v>
      </c>
      <c r="B99" t="s">
        <v>883</v>
      </c>
      <c r="C99" t="str">
        <f>LEFT(B99,FIND("_",B99)-1)</f>
        <v>microplastic</v>
      </c>
      <c r="D99" t="b">
        <f>IF(C99="CTRL",FALSE,TRUE)</f>
        <v>1</v>
      </c>
      <c r="E99" s="7" t="s">
        <v>889</v>
      </c>
      <c r="F99" t="s">
        <v>892</v>
      </c>
      <c r="G99" s="1" t="s">
        <v>302</v>
      </c>
      <c r="H99" s="1">
        <v>14</v>
      </c>
      <c r="I99" s="1" t="s">
        <v>5</v>
      </c>
      <c r="J99" s="6" t="s">
        <v>39</v>
      </c>
    </row>
    <row r="100" spans="1:10" x14ac:dyDescent="0.2">
      <c r="A100" s="4" t="s">
        <v>600</v>
      </c>
      <c r="B100" t="s">
        <v>887</v>
      </c>
      <c r="C100" t="str">
        <f>LEFT(B100,FIND("_",B100)-1)</f>
        <v>starch</v>
      </c>
      <c r="D100" t="b">
        <f>IF(C100="CTRL",FALSE,TRUE)</f>
        <v>1</v>
      </c>
      <c r="E100" s="7" t="s">
        <v>889</v>
      </c>
      <c r="F100" t="s">
        <v>892</v>
      </c>
      <c r="G100" s="1" t="s">
        <v>303</v>
      </c>
      <c r="H100" s="1">
        <v>14</v>
      </c>
      <c r="I100" s="1" t="s">
        <v>7</v>
      </c>
      <c r="J100" s="6" t="s">
        <v>39</v>
      </c>
    </row>
    <row r="101" spans="1:10" x14ac:dyDescent="0.2">
      <c r="A101" s="4" t="s">
        <v>601</v>
      </c>
      <c r="B101" t="s">
        <v>883</v>
      </c>
      <c r="C101" t="str">
        <f>LEFT(B101,FIND("_",B101)-1)</f>
        <v>microplastic</v>
      </c>
      <c r="D101" t="b">
        <f>IF(C101="CTRL",FALSE,TRUE)</f>
        <v>1</v>
      </c>
      <c r="E101" s="7" t="s">
        <v>889</v>
      </c>
      <c r="F101" t="s">
        <v>892</v>
      </c>
      <c r="G101" s="1" t="s">
        <v>304</v>
      </c>
      <c r="H101" s="1">
        <v>14</v>
      </c>
      <c r="I101" s="1" t="s">
        <v>9</v>
      </c>
      <c r="J101" s="6" t="s">
        <v>39</v>
      </c>
    </row>
    <row r="102" spans="1:10" x14ac:dyDescent="0.2">
      <c r="A102" s="4" t="s">
        <v>602</v>
      </c>
      <c r="B102" t="s">
        <v>887</v>
      </c>
      <c r="C102" t="str">
        <f>LEFT(B102,FIND("_",B102)-1)</f>
        <v>starch</v>
      </c>
      <c r="D102" t="b">
        <f>IF(C102="CTRL",FALSE,TRUE)</f>
        <v>1</v>
      </c>
      <c r="E102" s="7" t="s">
        <v>889</v>
      </c>
      <c r="F102" t="s">
        <v>893</v>
      </c>
      <c r="G102" s="1" t="s">
        <v>305</v>
      </c>
      <c r="H102" s="1">
        <v>14</v>
      </c>
      <c r="I102" s="1" t="s">
        <v>12</v>
      </c>
      <c r="J102" s="6" t="s">
        <v>39</v>
      </c>
    </row>
    <row r="103" spans="1:10" x14ac:dyDescent="0.2">
      <c r="A103" s="4" t="s">
        <v>603</v>
      </c>
      <c r="B103" t="s">
        <v>886</v>
      </c>
      <c r="C103" t="str">
        <f>LEFT(B103,FIND("_",B103)-1)</f>
        <v>macroplastic</v>
      </c>
      <c r="D103" t="b">
        <f>IF(C103="CTRL",FALSE,TRUE)</f>
        <v>1</v>
      </c>
      <c r="E103" s="7" t="s">
        <v>890</v>
      </c>
      <c r="F103" t="s">
        <v>15</v>
      </c>
      <c r="G103" s="1" t="s">
        <v>306</v>
      </c>
      <c r="H103" s="1">
        <v>14</v>
      </c>
      <c r="I103" s="1" t="s">
        <v>14</v>
      </c>
      <c r="J103" s="6" t="s">
        <v>39</v>
      </c>
    </row>
    <row r="104" spans="1:10" x14ac:dyDescent="0.2">
      <c r="A104" s="4" t="s">
        <v>604</v>
      </c>
      <c r="B104" t="s">
        <v>886</v>
      </c>
      <c r="C104" t="str">
        <f>LEFT(B104,FIND("_",B104)-1)</f>
        <v>macroplastic</v>
      </c>
      <c r="D104" t="b">
        <f>IF(C104="CTRL",FALSE,TRUE)</f>
        <v>1</v>
      </c>
      <c r="E104" s="7" t="s">
        <v>890</v>
      </c>
      <c r="F104" t="s">
        <v>15</v>
      </c>
      <c r="G104" s="1" t="s">
        <v>307</v>
      </c>
      <c r="H104" s="1">
        <v>14</v>
      </c>
      <c r="I104" s="1" t="s">
        <v>17</v>
      </c>
      <c r="J104" s="6" t="s">
        <v>39</v>
      </c>
    </row>
    <row r="105" spans="1:10" x14ac:dyDescent="0.2">
      <c r="A105" s="4" t="s">
        <v>605</v>
      </c>
      <c r="B105" t="s">
        <v>20</v>
      </c>
      <c r="C105" t="str">
        <f>LEFT(B105,FIND("_",B105)-1)</f>
        <v>CTRL</v>
      </c>
      <c r="D105" t="b">
        <f>IF(C105="CTRL",FALSE,TRUE)</f>
        <v>0</v>
      </c>
      <c r="E105" s="7">
        <v>0</v>
      </c>
      <c r="F105" t="s">
        <v>21</v>
      </c>
      <c r="G105" s="1" t="s">
        <v>308</v>
      </c>
      <c r="H105" s="1">
        <v>14</v>
      </c>
      <c r="I105" s="1" t="s">
        <v>19</v>
      </c>
      <c r="J105" s="6" t="s">
        <v>39</v>
      </c>
    </row>
    <row r="106" spans="1:10" x14ac:dyDescent="0.2">
      <c r="A106" s="4" t="s">
        <v>606</v>
      </c>
      <c r="B106" t="s">
        <v>886</v>
      </c>
      <c r="C106" t="str">
        <f>LEFT(B106,FIND("_",B106)-1)</f>
        <v>macroplastic</v>
      </c>
      <c r="D106" t="b">
        <f>IF(C106="CTRL",FALSE,TRUE)</f>
        <v>1</v>
      </c>
      <c r="E106" s="7" t="s">
        <v>890</v>
      </c>
      <c r="F106" t="s">
        <v>893</v>
      </c>
      <c r="G106" s="1" t="s">
        <v>309</v>
      </c>
      <c r="H106" s="1">
        <v>14</v>
      </c>
      <c r="I106" s="1" t="s">
        <v>23</v>
      </c>
      <c r="J106" s="6" t="s">
        <v>39</v>
      </c>
    </row>
    <row r="107" spans="1:10" x14ac:dyDescent="0.2">
      <c r="A107" s="4" t="s">
        <v>607</v>
      </c>
      <c r="B107" t="s">
        <v>888</v>
      </c>
      <c r="C107" t="str">
        <f>LEFT(B107,FIND("_",B107)-1)</f>
        <v>starch</v>
      </c>
      <c r="D107" t="b">
        <f>IF(C107="CTRL",FALSE,TRUE)</f>
        <v>1</v>
      </c>
      <c r="E107" s="7" t="s">
        <v>890</v>
      </c>
      <c r="F107" t="s">
        <v>21</v>
      </c>
      <c r="G107" s="1" t="s">
        <v>310</v>
      </c>
      <c r="H107" s="1">
        <v>14</v>
      </c>
      <c r="I107" s="1" t="s">
        <v>25</v>
      </c>
      <c r="J107" s="6" t="s">
        <v>39</v>
      </c>
    </row>
    <row r="108" spans="1:10" x14ac:dyDescent="0.2">
      <c r="A108" s="4" t="s">
        <v>608</v>
      </c>
      <c r="B108" t="s">
        <v>885</v>
      </c>
      <c r="C108" t="str">
        <f>LEFT(B108,FIND("_",B108)-1)</f>
        <v>macroplastic</v>
      </c>
      <c r="D108" t="b">
        <f>IF(C108="CTRL",FALSE,TRUE)</f>
        <v>1</v>
      </c>
      <c r="E108" s="7" t="s">
        <v>889</v>
      </c>
      <c r="F108" t="s">
        <v>893</v>
      </c>
      <c r="G108" s="1" t="s">
        <v>311</v>
      </c>
      <c r="H108" s="1">
        <v>14</v>
      </c>
      <c r="I108" s="1" t="s">
        <v>27</v>
      </c>
      <c r="J108" s="6" t="s">
        <v>39</v>
      </c>
    </row>
    <row r="109" spans="1:10" x14ac:dyDescent="0.2">
      <c r="A109" s="4" t="s">
        <v>609</v>
      </c>
      <c r="B109" t="s">
        <v>885</v>
      </c>
      <c r="C109" t="str">
        <f>LEFT(B109,FIND("_",B109)-1)</f>
        <v>macroplastic</v>
      </c>
      <c r="D109" t="b">
        <f>IF(C109="CTRL",FALSE,TRUE)</f>
        <v>1</v>
      </c>
      <c r="E109" s="7" t="s">
        <v>889</v>
      </c>
      <c r="F109" t="s">
        <v>15</v>
      </c>
      <c r="G109" s="1" t="s">
        <v>312</v>
      </c>
      <c r="H109" s="1">
        <v>14</v>
      </c>
      <c r="I109" s="1" t="s">
        <v>29</v>
      </c>
      <c r="J109" s="6" t="s">
        <v>39</v>
      </c>
    </row>
    <row r="110" spans="1:10" x14ac:dyDescent="0.2">
      <c r="A110" s="4" t="s">
        <v>610</v>
      </c>
      <c r="B110" t="s">
        <v>10</v>
      </c>
      <c r="C110" t="str">
        <f>LEFT(B110,FIND("_",B110)-1)</f>
        <v>CTRL</v>
      </c>
      <c r="D110" t="b">
        <v>1</v>
      </c>
      <c r="E110" s="7">
        <v>0</v>
      </c>
      <c r="F110" t="s">
        <v>892</v>
      </c>
      <c r="G110" s="1" t="s">
        <v>313</v>
      </c>
      <c r="H110" s="1">
        <v>14</v>
      </c>
      <c r="I110" s="1" t="s">
        <v>31</v>
      </c>
      <c r="J110" s="6" t="s">
        <v>39</v>
      </c>
    </row>
    <row r="111" spans="1:10" x14ac:dyDescent="0.2">
      <c r="A111" s="4" t="s">
        <v>611</v>
      </c>
      <c r="B111" t="s">
        <v>888</v>
      </c>
      <c r="C111" t="str">
        <f>LEFT(B111,FIND("_",B111)-1)</f>
        <v>starch</v>
      </c>
      <c r="D111" t="b">
        <f>IF(C111="CTRL",FALSE,TRUE)</f>
        <v>1</v>
      </c>
      <c r="E111" s="7" t="s">
        <v>890</v>
      </c>
      <c r="F111" t="s">
        <v>893</v>
      </c>
      <c r="G111" s="1" t="s">
        <v>314</v>
      </c>
      <c r="H111" s="1">
        <v>14</v>
      </c>
      <c r="I111" s="1" t="s">
        <v>33</v>
      </c>
      <c r="J111" s="6" t="s">
        <v>39</v>
      </c>
    </row>
    <row r="112" spans="1:10" x14ac:dyDescent="0.2">
      <c r="A112" s="4" t="s">
        <v>612</v>
      </c>
      <c r="B112" t="s">
        <v>887</v>
      </c>
      <c r="C112" t="str">
        <f>LEFT(B112,FIND("_",B112)-1)</f>
        <v>starch</v>
      </c>
      <c r="D112" t="b">
        <f>IF(C112="CTRL",FALSE,TRUE)</f>
        <v>1</v>
      </c>
      <c r="E112" s="7" t="s">
        <v>889</v>
      </c>
      <c r="F112" t="s">
        <v>893</v>
      </c>
      <c r="G112" s="1" t="s">
        <v>315</v>
      </c>
      <c r="H112" s="1">
        <v>14</v>
      </c>
      <c r="I112" s="1" t="s">
        <v>35</v>
      </c>
      <c r="J112" s="6" t="s">
        <v>39</v>
      </c>
    </row>
    <row r="113" spans="1:10" x14ac:dyDescent="0.2">
      <c r="A113" s="4" t="s">
        <v>613</v>
      </c>
      <c r="B113" t="s">
        <v>887</v>
      </c>
      <c r="C113" t="str">
        <f>LEFT(B113,FIND("_",B113)-1)</f>
        <v>starch</v>
      </c>
      <c r="D113" t="b">
        <f>IF(C113="CTRL",FALSE,TRUE)</f>
        <v>1</v>
      </c>
      <c r="E113" s="7" t="s">
        <v>889</v>
      </c>
      <c r="F113" t="s">
        <v>892</v>
      </c>
      <c r="G113" s="1" t="s">
        <v>316</v>
      </c>
      <c r="H113" s="1">
        <v>14</v>
      </c>
      <c r="I113" s="1" t="s">
        <v>37</v>
      </c>
      <c r="J113" s="6" t="s">
        <v>39</v>
      </c>
    </row>
    <row r="114" spans="1:10" x14ac:dyDescent="0.2">
      <c r="A114" s="4" t="s">
        <v>614</v>
      </c>
      <c r="B114" t="s">
        <v>886</v>
      </c>
      <c r="C114" t="str">
        <f>LEFT(B114,FIND("_",B114)-1)</f>
        <v>macroplastic</v>
      </c>
      <c r="D114" t="b">
        <f>IF(C114="CTRL",FALSE,TRUE)</f>
        <v>1</v>
      </c>
      <c r="E114" s="7" t="s">
        <v>890</v>
      </c>
      <c r="F114" t="s">
        <v>892</v>
      </c>
      <c r="G114" s="1" t="s">
        <v>317</v>
      </c>
      <c r="H114" s="1">
        <v>14</v>
      </c>
      <c r="I114" s="1" t="s">
        <v>39</v>
      </c>
      <c r="J114" s="6" t="s">
        <v>39</v>
      </c>
    </row>
    <row r="115" spans="1:10" x14ac:dyDescent="0.2">
      <c r="A115" s="4" t="s">
        <v>615</v>
      </c>
      <c r="B115" t="s">
        <v>10</v>
      </c>
      <c r="C115" t="str">
        <f>LEFT(B115,FIND("_",B115)-1)</f>
        <v>CTRL</v>
      </c>
      <c r="D115" t="b">
        <v>1</v>
      </c>
      <c r="E115" s="7">
        <v>0</v>
      </c>
      <c r="F115" t="s">
        <v>15</v>
      </c>
      <c r="G115" s="1" t="s">
        <v>318</v>
      </c>
      <c r="H115" s="1">
        <v>14</v>
      </c>
      <c r="I115" s="1" t="s">
        <v>41</v>
      </c>
      <c r="J115" s="6" t="s">
        <v>39</v>
      </c>
    </row>
    <row r="116" spans="1:10" x14ac:dyDescent="0.2">
      <c r="A116" s="4" t="s">
        <v>616</v>
      </c>
      <c r="B116" t="s">
        <v>886</v>
      </c>
      <c r="C116" t="str">
        <f>LEFT(B116,FIND("_",B116)-1)</f>
        <v>macroplastic</v>
      </c>
      <c r="D116" t="b">
        <f>IF(C116="CTRL",FALSE,TRUE)</f>
        <v>1</v>
      </c>
      <c r="E116" s="7" t="s">
        <v>890</v>
      </c>
      <c r="F116" t="s">
        <v>893</v>
      </c>
      <c r="G116" s="1" t="s">
        <v>319</v>
      </c>
      <c r="H116" s="1">
        <v>14</v>
      </c>
      <c r="I116" s="1" t="s">
        <v>43</v>
      </c>
      <c r="J116" s="6" t="s">
        <v>39</v>
      </c>
    </row>
    <row r="117" spans="1:10" x14ac:dyDescent="0.2">
      <c r="A117" s="4" t="s">
        <v>617</v>
      </c>
      <c r="B117" t="s">
        <v>10</v>
      </c>
      <c r="C117" t="str">
        <f>LEFT(B117,FIND("_",B117)-1)</f>
        <v>CTRL</v>
      </c>
      <c r="D117" t="b">
        <v>1</v>
      </c>
      <c r="E117" s="7">
        <v>0</v>
      </c>
      <c r="F117" t="s">
        <v>893</v>
      </c>
      <c r="G117" s="1" t="s">
        <v>320</v>
      </c>
      <c r="H117" s="1">
        <v>14</v>
      </c>
      <c r="I117" s="1" t="s">
        <v>45</v>
      </c>
      <c r="J117" s="6" t="s">
        <v>39</v>
      </c>
    </row>
    <row r="118" spans="1:10" x14ac:dyDescent="0.2">
      <c r="A118" s="4" t="s">
        <v>618</v>
      </c>
      <c r="B118" t="s">
        <v>882</v>
      </c>
      <c r="C118" t="str">
        <f>LEFT(B118,FIND("_",B118)-1)</f>
        <v>CTRL</v>
      </c>
      <c r="D118" t="b">
        <f>IF(C118="CTRL",FALSE,TRUE)</f>
        <v>0</v>
      </c>
      <c r="E118" s="7">
        <v>10</v>
      </c>
      <c r="F118" t="s">
        <v>21</v>
      </c>
      <c r="G118" s="1" t="s">
        <v>321</v>
      </c>
      <c r="H118" s="1">
        <v>14</v>
      </c>
      <c r="I118" s="1" t="s">
        <v>47</v>
      </c>
      <c r="J118" s="6" t="s">
        <v>39</v>
      </c>
    </row>
    <row r="119" spans="1:10" x14ac:dyDescent="0.2">
      <c r="A119" s="4" t="s">
        <v>619</v>
      </c>
      <c r="B119" t="s">
        <v>885</v>
      </c>
      <c r="C119" t="str">
        <f>LEFT(B119,FIND("_",B119)-1)</f>
        <v>macroplastic</v>
      </c>
      <c r="D119" t="b">
        <f>IF(C119="CTRL",FALSE,TRUE)</f>
        <v>1</v>
      </c>
      <c r="E119" s="7" t="s">
        <v>889</v>
      </c>
      <c r="F119" t="s">
        <v>892</v>
      </c>
      <c r="G119" s="1" t="s">
        <v>322</v>
      </c>
      <c r="H119" s="1">
        <v>14</v>
      </c>
      <c r="I119" s="1" t="s">
        <v>49</v>
      </c>
      <c r="J119" s="6" t="s">
        <v>39</v>
      </c>
    </row>
    <row r="120" spans="1:10" x14ac:dyDescent="0.2">
      <c r="A120" s="4" t="s">
        <v>620</v>
      </c>
      <c r="B120" t="s">
        <v>883</v>
      </c>
      <c r="C120" t="str">
        <f>LEFT(B120,FIND("_",B120)-1)</f>
        <v>microplastic</v>
      </c>
      <c r="D120" t="b">
        <f>IF(C120="CTRL",FALSE,TRUE)</f>
        <v>1</v>
      </c>
      <c r="E120" s="7" t="s">
        <v>889</v>
      </c>
      <c r="F120" t="s">
        <v>15</v>
      </c>
      <c r="G120" s="1" t="s">
        <v>323</v>
      </c>
      <c r="H120" s="1">
        <v>14</v>
      </c>
      <c r="I120" s="1" t="s">
        <v>51</v>
      </c>
      <c r="J120" s="6" t="s">
        <v>39</v>
      </c>
    </row>
    <row r="121" spans="1:10" x14ac:dyDescent="0.2">
      <c r="A121" s="4" t="s">
        <v>621</v>
      </c>
      <c r="B121" t="s">
        <v>887</v>
      </c>
      <c r="C121" t="str">
        <f>LEFT(B121,FIND("_",B121)-1)</f>
        <v>starch</v>
      </c>
      <c r="D121" t="b">
        <f>IF(C121="CTRL",FALSE,TRUE)</f>
        <v>1</v>
      </c>
      <c r="E121" s="7" t="s">
        <v>889</v>
      </c>
      <c r="F121" t="s">
        <v>21</v>
      </c>
      <c r="G121" s="1" t="s">
        <v>324</v>
      </c>
      <c r="H121" s="1">
        <v>14</v>
      </c>
      <c r="I121" s="1" t="s">
        <v>53</v>
      </c>
      <c r="J121" s="6" t="s">
        <v>39</v>
      </c>
    </row>
    <row r="122" spans="1:10" x14ac:dyDescent="0.2">
      <c r="A122" s="4" t="s">
        <v>622</v>
      </c>
      <c r="B122" t="s">
        <v>886</v>
      </c>
      <c r="C122" t="str">
        <f>LEFT(B122,FIND("_",B122)-1)</f>
        <v>macroplastic</v>
      </c>
      <c r="D122" t="b">
        <f>IF(C122="CTRL",FALSE,TRUE)</f>
        <v>1</v>
      </c>
      <c r="E122" s="7" t="s">
        <v>890</v>
      </c>
      <c r="F122" t="s">
        <v>893</v>
      </c>
      <c r="G122" s="1" t="s">
        <v>325</v>
      </c>
      <c r="H122" s="1">
        <v>14</v>
      </c>
      <c r="I122" s="1" t="s">
        <v>55</v>
      </c>
      <c r="J122" s="6" t="s">
        <v>39</v>
      </c>
    </row>
    <row r="123" spans="1:10" x14ac:dyDescent="0.2">
      <c r="A123" s="4" t="s">
        <v>623</v>
      </c>
      <c r="B123" t="s">
        <v>888</v>
      </c>
      <c r="C123" t="str">
        <f>LEFT(B123,FIND("_",B123)-1)</f>
        <v>starch</v>
      </c>
      <c r="D123" t="b">
        <f>IF(C123="CTRL",FALSE,TRUE)</f>
        <v>1</v>
      </c>
      <c r="E123" s="7" t="s">
        <v>890</v>
      </c>
      <c r="F123" t="s">
        <v>892</v>
      </c>
      <c r="G123" s="1" t="s">
        <v>326</v>
      </c>
      <c r="H123" s="1">
        <v>14</v>
      </c>
      <c r="I123" s="1" t="s">
        <v>57</v>
      </c>
      <c r="J123" s="6" t="s">
        <v>39</v>
      </c>
    </row>
    <row r="124" spans="1:10" x14ac:dyDescent="0.2">
      <c r="A124" s="4" t="s">
        <v>624</v>
      </c>
      <c r="B124" t="s">
        <v>886</v>
      </c>
      <c r="C124" t="str">
        <f>LEFT(B124,FIND("_",B124)-1)</f>
        <v>macroplastic</v>
      </c>
      <c r="D124" t="b">
        <f>IF(C124="CTRL",FALSE,TRUE)</f>
        <v>1</v>
      </c>
      <c r="E124" s="7" t="s">
        <v>890</v>
      </c>
      <c r="F124" t="s">
        <v>892</v>
      </c>
      <c r="G124" s="1" t="s">
        <v>327</v>
      </c>
      <c r="H124" s="1">
        <v>14</v>
      </c>
      <c r="I124" s="1" t="s">
        <v>59</v>
      </c>
      <c r="J124" s="6" t="s">
        <v>39</v>
      </c>
    </row>
    <row r="125" spans="1:10" x14ac:dyDescent="0.2">
      <c r="A125" s="4" t="s">
        <v>625</v>
      </c>
      <c r="B125" t="s">
        <v>880</v>
      </c>
      <c r="C125" t="str">
        <f>LEFT(B125,FIND("_",B125)-1)</f>
        <v>CTRL</v>
      </c>
      <c r="D125" t="b">
        <f>IF(C125="CTRL",FALSE,TRUE)</f>
        <v>0</v>
      </c>
      <c r="E125" s="7">
        <v>10</v>
      </c>
      <c r="F125" t="s">
        <v>15</v>
      </c>
      <c r="G125" s="1" t="s">
        <v>328</v>
      </c>
      <c r="H125" s="1">
        <v>14</v>
      </c>
      <c r="I125" s="1" t="s">
        <v>61</v>
      </c>
      <c r="J125" s="6" t="s">
        <v>39</v>
      </c>
    </row>
    <row r="126" spans="1:10" x14ac:dyDescent="0.2">
      <c r="A126" s="4" t="s">
        <v>626</v>
      </c>
      <c r="B126" t="s">
        <v>885</v>
      </c>
      <c r="C126" t="str">
        <f>LEFT(B126,FIND("_",B126)-1)</f>
        <v>macroplastic</v>
      </c>
      <c r="D126" t="b">
        <f>IF(C126="CTRL",FALSE,TRUE)</f>
        <v>1</v>
      </c>
      <c r="E126" s="7" t="s">
        <v>889</v>
      </c>
      <c r="F126" t="s">
        <v>893</v>
      </c>
      <c r="G126" s="1" t="s">
        <v>329</v>
      </c>
      <c r="H126" s="1">
        <v>14</v>
      </c>
      <c r="I126" s="1" t="s">
        <v>63</v>
      </c>
      <c r="J126" s="6" t="s">
        <v>39</v>
      </c>
    </row>
    <row r="127" spans="1:10" x14ac:dyDescent="0.2">
      <c r="A127" s="4" t="s">
        <v>627</v>
      </c>
      <c r="B127" t="s">
        <v>887</v>
      </c>
      <c r="C127" t="str">
        <f>LEFT(B127,FIND("_",B127)-1)</f>
        <v>starch</v>
      </c>
      <c r="D127" t="b">
        <f>IF(C127="CTRL",FALSE,TRUE)</f>
        <v>1</v>
      </c>
      <c r="E127" s="7" t="s">
        <v>889</v>
      </c>
      <c r="F127" t="s">
        <v>15</v>
      </c>
      <c r="G127" s="1" t="s">
        <v>330</v>
      </c>
      <c r="H127" s="1">
        <v>14</v>
      </c>
      <c r="I127" s="1" t="s">
        <v>65</v>
      </c>
      <c r="J127" s="6" t="s">
        <v>39</v>
      </c>
    </row>
    <row r="128" spans="1:10" x14ac:dyDescent="0.2">
      <c r="A128" s="4" t="s">
        <v>628</v>
      </c>
      <c r="B128" t="s">
        <v>884</v>
      </c>
      <c r="C128" t="str">
        <f>LEFT(B128,FIND("_",B128)-1)</f>
        <v>microplastic</v>
      </c>
      <c r="D128" t="b">
        <f>IF(C128="CTRL",FALSE,TRUE)</f>
        <v>1</v>
      </c>
      <c r="E128" s="7" t="s">
        <v>890</v>
      </c>
      <c r="F128" t="s">
        <v>893</v>
      </c>
      <c r="G128" s="1" t="s">
        <v>331</v>
      </c>
      <c r="H128" s="1">
        <v>14</v>
      </c>
      <c r="I128" s="1" t="s">
        <v>67</v>
      </c>
      <c r="J128" s="6" t="s">
        <v>39</v>
      </c>
    </row>
    <row r="129" spans="1:10" x14ac:dyDescent="0.2">
      <c r="A129" s="4" t="s">
        <v>629</v>
      </c>
      <c r="B129" t="s">
        <v>881</v>
      </c>
      <c r="C129" t="str">
        <f>LEFT(B129,FIND("_",B129)-1)</f>
        <v>CTRL</v>
      </c>
      <c r="D129" t="b">
        <f>IF(C129="CTRL",FALSE,TRUE)</f>
        <v>0</v>
      </c>
      <c r="E129" s="7">
        <v>10</v>
      </c>
      <c r="F129" t="s">
        <v>15</v>
      </c>
      <c r="G129" s="1" t="s">
        <v>332</v>
      </c>
      <c r="H129" s="1">
        <v>14</v>
      </c>
      <c r="I129" s="1" t="s">
        <v>69</v>
      </c>
      <c r="J129" s="6" t="s">
        <v>39</v>
      </c>
    </row>
    <row r="130" spans="1:10" x14ac:dyDescent="0.2">
      <c r="A130" s="4" t="s">
        <v>630</v>
      </c>
      <c r="B130" t="s">
        <v>888</v>
      </c>
      <c r="C130" t="str">
        <f>LEFT(B130,FIND("_",B130)-1)</f>
        <v>starch</v>
      </c>
      <c r="D130" t="b">
        <f>IF(C130="CTRL",FALSE,TRUE)</f>
        <v>1</v>
      </c>
      <c r="E130" s="7" t="s">
        <v>890</v>
      </c>
      <c r="F130" t="s">
        <v>892</v>
      </c>
      <c r="G130" s="1" t="s">
        <v>333</v>
      </c>
      <c r="H130" s="1">
        <v>14</v>
      </c>
      <c r="I130" s="1" t="s">
        <v>71</v>
      </c>
      <c r="J130" s="6" t="s">
        <v>39</v>
      </c>
    </row>
    <row r="131" spans="1:10" x14ac:dyDescent="0.2">
      <c r="A131" s="4" t="s">
        <v>631</v>
      </c>
      <c r="B131" t="s">
        <v>10</v>
      </c>
      <c r="C131" t="str">
        <f>LEFT(B131,FIND("_",B131)-1)</f>
        <v>CTRL</v>
      </c>
      <c r="D131" t="b">
        <v>1</v>
      </c>
      <c r="E131" s="7">
        <v>0</v>
      </c>
      <c r="F131" t="s">
        <v>21</v>
      </c>
      <c r="G131" s="1" t="s">
        <v>334</v>
      </c>
      <c r="H131" s="1">
        <v>14</v>
      </c>
      <c r="I131" s="1" t="s">
        <v>73</v>
      </c>
      <c r="J131" s="6" t="s">
        <v>39</v>
      </c>
    </row>
    <row r="132" spans="1:10" x14ac:dyDescent="0.2">
      <c r="A132" s="4" t="s">
        <v>632</v>
      </c>
      <c r="B132" t="s">
        <v>883</v>
      </c>
      <c r="C132" t="str">
        <f>LEFT(B132,FIND("_",B132)-1)</f>
        <v>microplastic</v>
      </c>
      <c r="D132" t="b">
        <f>IF(C132="CTRL",FALSE,TRUE)</f>
        <v>1</v>
      </c>
      <c r="E132" s="7" t="s">
        <v>889</v>
      </c>
      <c r="F132" t="s">
        <v>21</v>
      </c>
      <c r="G132" s="1" t="s">
        <v>335</v>
      </c>
      <c r="H132" s="1">
        <v>14</v>
      </c>
      <c r="I132" s="1" t="s">
        <v>75</v>
      </c>
      <c r="J132" s="6" t="s">
        <v>39</v>
      </c>
    </row>
    <row r="133" spans="1:10" x14ac:dyDescent="0.2">
      <c r="A133" s="4" t="s">
        <v>633</v>
      </c>
      <c r="B133" t="s">
        <v>884</v>
      </c>
      <c r="C133" t="str">
        <f>LEFT(B133,FIND("_",B133)-1)</f>
        <v>microplastic</v>
      </c>
      <c r="D133" t="b">
        <f>IF(C133="CTRL",FALSE,TRUE)</f>
        <v>1</v>
      </c>
      <c r="E133" s="7" t="s">
        <v>890</v>
      </c>
      <c r="F133" t="s">
        <v>15</v>
      </c>
      <c r="G133" s="1" t="s">
        <v>336</v>
      </c>
      <c r="H133" s="1">
        <v>14</v>
      </c>
      <c r="I133" s="1" t="s">
        <v>77</v>
      </c>
      <c r="J133" s="6" t="s">
        <v>39</v>
      </c>
    </row>
    <row r="134" spans="1:10" x14ac:dyDescent="0.2">
      <c r="A134" s="4" t="s">
        <v>634</v>
      </c>
      <c r="B134" t="s">
        <v>885</v>
      </c>
      <c r="C134" t="str">
        <f>LEFT(B134,FIND("_",B134)-1)</f>
        <v>macroplastic</v>
      </c>
      <c r="D134" t="b">
        <f>IF(C134="CTRL",FALSE,TRUE)</f>
        <v>1</v>
      </c>
      <c r="E134" s="7" t="s">
        <v>889</v>
      </c>
      <c r="F134" t="s">
        <v>892</v>
      </c>
      <c r="G134" s="1" t="s">
        <v>337</v>
      </c>
      <c r="H134" s="1">
        <v>14</v>
      </c>
      <c r="I134" s="1" t="s">
        <v>79</v>
      </c>
      <c r="J134" s="6" t="s">
        <v>39</v>
      </c>
    </row>
    <row r="135" spans="1:10" x14ac:dyDescent="0.2">
      <c r="A135" s="4" t="s">
        <v>635</v>
      </c>
      <c r="B135" t="s">
        <v>10</v>
      </c>
      <c r="C135" t="str">
        <f>LEFT(B135,FIND("_",B135)-1)</f>
        <v>CTRL</v>
      </c>
      <c r="D135" t="b">
        <v>1</v>
      </c>
      <c r="E135" s="7">
        <v>0</v>
      </c>
      <c r="F135" t="s">
        <v>893</v>
      </c>
      <c r="G135" s="1" t="s">
        <v>338</v>
      </c>
      <c r="H135" s="1">
        <v>14</v>
      </c>
      <c r="I135" s="1" t="s">
        <v>81</v>
      </c>
      <c r="J135" s="6" t="s">
        <v>39</v>
      </c>
    </row>
    <row r="136" spans="1:10" x14ac:dyDescent="0.2">
      <c r="A136" s="4" t="s">
        <v>636</v>
      </c>
      <c r="B136" t="s">
        <v>887</v>
      </c>
      <c r="C136" t="str">
        <f>LEFT(B136,FIND("_",B136)-1)</f>
        <v>starch</v>
      </c>
      <c r="D136" t="b">
        <f>IF(C136="CTRL",FALSE,TRUE)</f>
        <v>1</v>
      </c>
      <c r="E136" s="7" t="s">
        <v>889</v>
      </c>
      <c r="F136" t="s">
        <v>892</v>
      </c>
      <c r="G136" s="1" t="s">
        <v>339</v>
      </c>
      <c r="H136" s="1">
        <v>14</v>
      </c>
      <c r="I136" s="1" t="s">
        <v>83</v>
      </c>
      <c r="J136" s="6" t="s">
        <v>39</v>
      </c>
    </row>
    <row r="137" spans="1:10" x14ac:dyDescent="0.2">
      <c r="A137" s="4" t="s">
        <v>637</v>
      </c>
      <c r="B137" t="s">
        <v>888</v>
      </c>
      <c r="C137" t="str">
        <f>LEFT(B137,FIND("_",B137)-1)</f>
        <v>starch</v>
      </c>
      <c r="D137" t="b">
        <f>IF(C137="CTRL",FALSE,TRUE)</f>
        <v>1</v>
      </c>
      <c r="E137" s="7" t="s">
        <v>890</v>
      </c>
      <c r="F137" t="s">
        <v>15</v>
      </c>
      <c r="G137" s="1" t="s">
        <v>340</v>
      </c>
      <c r="H137" s="1">
        <v>14</v>
      </c>
      <c r="I137" s="1" t="s">
        <v>85</v>
      </c>
      <c r="J137" s="6" t="s">
        <v>39</v>
      </c>
    </row>
    <row r="138" spans="1:10" x14ac:dyDescent="0.2">
      <c r="A138" s="4" t="s">
        <v>638</v>
      </c>
      <c r="B138" t="s">
        <v>884</v>
      </c>
      <c r="C138" t="str">
        <f>LEFT(B138,FIND("_",B138)-1)</f>
        <v>microplastic</v>
      </c>
      <c r="D138" t="b">
        <f>IF(C138="CTRL",FALSE,TRUE)</f>
        <v>1</v>
      </c>
      <c r="E138" s="7" t="s">
        <v>890</v>
      </c>
      <c r="F138" t="s">
        <v>892</v>
      </c>
      <c r="G138" s="1" t="s">
        <v>341</v>
      </c>
      <c r="H138" s="1">
        <v>14</v>
      </c>
      <c r="I138" s="1" t="s">
        <v>87</v>
      </c>
      <c r="J138" s="6" t="s">
        <v>39</v>
      </c>
    </row>
    <row r="139" spans="1:10" x14ac:dyDescent="0.2">
      <c r="A139" s="4" t="s">
        <v>639</v>
      </c>
      <c r="B139" t="s">
        <v>880</v>
      </c>
      <c r="C139" t="str">
        <f>LEFT(B139,FIND("_",B139)-1)</f>
        <v>CTRL</v>
      </c>
      <c r="D139" t="b">
        <f>IF(C139="CTRL",FALSE,TRUE)</f>
        <v>0</v>
      </c>
      <c r="E139" s="7">
        <v>10</v>
      </c>
      <c r="F139" t="s">
        <v>21</v>
      </c>
      <c r="G139" s="1" t="s">
        <v>342</v>
      </c>
      <c r="H139" s="1">
        <v>14</v>
      </c>
      <c r="I139" s="1" t="s">
        <v>89</v>
      </c>
      <c r="J139" s="6" t="s">
        <v>39</v>
      </c>
    </row>
    <row r="140" spans="1:10" x14ac:dyDescent="0.2">
      <c r="A140" s="4" t="s">
        <v>640</v>
      </c>
      <c r="B140" t="s">
        <v>884</v>
      </c>
      <c r="C140" t="str">
        <f>LEFT(B140,FIND("_",B140)-1)</f>
        <v>microplastic</v>
      </c>
      <c r="D140" t="b">
        <f>IF(C140="CTRL",FALSE,TRUE)</f>
        <v>1</v>
      </c>
      <c r="E140" s="7" t="s">
        <v>890</v>
      </c>
      <c r="F140" t="s">
        <v>21</v>
      </c>
      <c r="G140" s="1" t="s">
        <v>343</v>
      </c>
      <c r="H140" s="1">
        <v>14</v>
      </c>
      <c r="I140" s="1" t="s">
        <v>91</v>
      </c>
      <c r="J140" s="6" t="s">
        <v>39</v>
      </c>
    </row>
    <row r="141" spans="1:10" x14ac:dyDescent="0.2">
      <c r="A141" s="4" t="s">
        <v>641</v>
      </c>
      <c r="B141" t="s">
        <v>887</v>
      </c>
      <c r="C141" t="str">
        <f>LEFT(B141,FIND("_",B141)-1)</f>
        <v>starch</v>
      </c>
      <c r="D141" t="b">
        <f>IF(C141="CTRL",FALSE,TRUE)</f>
        <v>1</v>
      </c>
      <c r="E141" s="7" t="s">
        <v>889</v>
      </c>
      <c r="F141" t="s">
        <v>893</v>
      </c>
      <c r="G141" s="1" t="s">
        <v>344</v>
      </c>
      <c r="H141" s="1">
        <v>14</v>
      </c>
      <c r="I141" s="1" t="s">
        <v>93</v>
      </c>
      <c r="J141" s="6" t="s">
        <v>39</v>
      </c>
    </row>
    <row r="142" spans="1:10" x14ac:dyDescent="0.2">
      <c r="A142" s="4" t="s">
        <v>642</v>
      </c>
      <c r="B142" t="s">
        <v>880</v>
      </c>
      <c r="C142" t="str">
        <f>LEFT(B142,FIND("_",B142)-1)</f>
        <v>CTRL</v>
      </c>
      <c r="D142" t="b">
        <f>IF(C142="CTRL",FALSE,TRUE)</f>
        <v>0</v>
      </c>
      <c r="E142" s="7">
        <v>10</v>
      </c>
      <c r="F142" t="s">
        <v>21</v>
      </c>
      <c r="G142" s="1" t="s">
        <v>345</v>
      </c>
      <c r="H142" s="1">
        <v>14</v>
      </c>
      <c r="I142" s="1" t="s">
        <v>95</v>
      </c>
      <c r="J142" s="6" t="s">
        <v>39</v>
      </c>
    </row>
    <row r="143" spans="1:10" x14ac:dyDescent="0.2">
      <c r="A143" s="4" t="s">
        <v>643</v>
      </c>
      <c r="B143" t="s">
        <v>883</v>
      </c>
      <c r="C143" t="str">
        <f>LEFT(B143,FIND("_",B143)-1)</f>
        <v>microplastic</v>
      </c>
      <c r="D143" t="b">
        <f>IF(C143="CTRL",FALSE,TRUE)</f>
        <v>1</v>
      </c>
      <c r="E143" s="7" t="s">
        <v>889</v>
      </c>
      <c r="F143" t="s">
        <v>21</v>
      </c>
      <c r="G143" s="1" t="s">
        <v>346</v>
      </c>
      <c r="H143" s="1">
        <v>14</v>
      </c>
      <c r="I143" s="1" t="s">
        <v>97</v>
      </c>
      <c r="J143" s="6" t="s">
        <v>39</v>
      </c>
    </row>
    <row r="144" spans="1:10" x14ac:dyDescent="0.2">
      <c r="A144" s="4" t="s">
        <v>644</v>
      </c>
      <c r="B144" t="s">
        <v>882</v>
      </c>
      <c r="C144" t="str">
        <f>LEFT(B144,FIND("_",B144)-1)</f>
        <v>CTRL</v>
      </c>
      <c r="D144" t="b">
        <f>IF(C144="CTRL",FALSE,TRUE)</f>
        <v>0</v>
      </c>
      <c r="E144" s="7">
        <v>10</v>
      </c>
      <c r="F144" t="s">
        <v>15</v>
      </c>
      <c r="G144" s="1" t="s">
        <v>347</v>
      </c>
      <c r="H144" s="1">
        <v>14</v>
      </c>
      <c r="I144" s="1" t="s">
        <v>99</v>
      </c>
      <c r="J144" s="6" t="s">
        <v>39</v>
      </c>
    </row>
    <row r="145" spans="1:10" x14ac:dyDescent="0.2">
      <c r="A145" s="4" t="s">
        <v>645</v>
      </c>
      <c r="B145" t="s">
        <v>884</v>
      </c>
      <c r="C145" t="str">
        <f>LEFT(B145,FIND("_",B145)-1)</f>
        <v>microplastic</v>
      </c>
      <c r="D145" t="b">
        <f>IF(C145="CTRL",FALSE,TRUE)</f>
        <v>1</v>
      </c>
      <c r="E145" s="7" t="s">
        <v>890</v>
      </c>
      <c r="F145" t="s">
        <v>892</v>
      </c>
      <c r="G145" s="1" t="s">
        <v>348</v>
      </c>
      <c r="H145" s="1">
        <v>14</v>
      </c>
      <c r="I145" s="1" t="s">
        <v>101</v>
      </c>
      <c r="J145" s="6" t="s">
        <v>39</v>
      </c>
    </row>
    <row r="146" spans="1:10" x14ac:dyDescent="0.2">
      <c r="A146" s="4" t="s">
        <v>646</v>
      </c>
      <c r="B146" t="s">
        <v>884</v>
      </c>
      <c r="C146" t="str">
        <f>LEFT(B146,FIND("_",B146)-1)</f>
        <v>microplastic</v>
      </c>
      <c r="D146" t="b">
        <f>IF(C146="CTRL",FALSE,TRUE)</f>
        <v>1</v>
      </c>
      <c r="E146" s="7" t="s">
        <v>890</v>
      </c>
      <c r="F146" t="s">
        <v>892</v>
      </c>
      <c r="G146" s="1" t="s">
        <v>349</v>
      </c>
      <c r="H146" s="1">
        <v>14</v>
      </c>
      <c r="I146" s="1" t="s">
        <v>103</v>
      </c>
      <c r="J146" s="6" t="s">
        <v>39</v>
      </c>
    </row>
    <row r="147" spans="1:10" x14ac:dyDescent="0.2">
      <c r="A147" s="4" t="s">
        <v>647</v>
      </c>
      <c r="B147" t="s">
        <v>887</v>
      </c>
      <c r="C147" t="str">
        <f>LEFT(B147,FIND("_",B147)-1)</f>
        <v>starch</v>
      </c>
      <c r="D147" t="b">
        <f>IF(C147="CTRL",FALSE,TRUE)</f>
        <v>1</v>
      </c>
      <c r="E147" s="7" t="s">
        <v>889</v>
      </c>
      <c r="F147" t="s">
        <v>21</v>
      </c>
      <c r="G147" s="1" t="s">
        <v>350</v>
      </c>
      <c r="H147" s="1">
        <v>14</v>
      </c>
      <c r="I147" s="1" t="s">
        <v>105</v>
      </c>
      <c r="J147" s="6" t="s">
        <v>39</v>
      </c>
    </row>
    <row r="148" spans="1:10" x14ac:dyDescent="0.2">
      <c r="A148" s="4" t="s">
        <v>648</v>
      </c>
      <c r="B148" t="s">
        <v>883</v>
      </c>
      <c r="C148" t="str">
        <f>LEFT(B148,FIND("_",B148)-1)</f>
        <v>microplastic</v>
      </c>
      <c r="D148" t="b">
        <f>IF(C148="CTRL",FALSE,TRUE)</f>
        <v>1</v>
      </c>
      <c r="E148" s="7" t="s">
        <v>889</v>
      </c>
      <c r="F148" t="s">
        <v>15</v>
      </c>
      <c r="G148" s="1" t="s">
        <v>351</v>
      </c>
      <c r="H148" s="1">
        <v>14</v>
      </c>
      <c r="I148" s="1" t="s">
        <v>107</v>
      </c>
      <c r="J148" s="6" t="s">
        <v>39</v>
      </c>
    </row>
    <row r="149" spans="1:10" x14ac:dyDescent="0.2">
      <c r="A149" s="4" t="s">
        <v>649</v>
      </c>
      <c r="B149" t="s">
        <v>885</v>
      </c>
      <c r="C149" t="str">
        <f>LEFT(B149,FIND("_",B149)-1)</f>
        <v>macroplastic</v>
      </c>
      <c r="D149" t="b">
        <f>IF(C149="CTRL",FALSE,TRUE)</f>
        <v>1</v>
      </c>
      <c r="E149" s="7" t="s">
        <v>889</v>
      </c>
      <c r="F149" t="s">
        <v>21</v>
      </c>
      <c r="G149" s="1" t="s">
        <v>352</v>
      </c>
      <c r="H149" s="1">
        <v>14</v>
      </c>
      <c r="I149" s="1" t="s">
        <v>109</v>
      </c>
      <c r="J149" s="6" t="s">
        <v>39</v>
      </c>
    </row>
    <row r="150" spans="1:10" x14ac:dyDescent="0.2">
      <c r="A150" s="4" t="s">
        <v>650</v>
      </c>
      <c r="B150" t="s">
        <v>884</v>
      </c>
      <c r="C150" t="str">
        <f>LEFT(B150,FIND("_",B150)-1)</f>
        <v>microplastic</v>
      </c>
      <c r="D150" t="b">
        <f>IF(C150="CTRL",FALSE,TRUE)</f>
        <v>1</v>
      </c>
      <c r="E150" s="7" t="s">
        <v>890</v>
      </c>
      <c r="F150" t="s">
        <v>21</v>
      </c>
      <c r="G150" s="1" t="s">
        <v>353</v>
      </c>
      <c r="H150" s="1">
        <v>14</v>
      </c>
      <c r="I150" s="1" t="s">
        <v>111</v>
      </c>
      <c r="J150" s="6" t="s">
        <v>39</v>
      </c>
    </row>
    <row r="151" spans="1:10" x14ac:dyDescent="0.2">
      <c r="A151" s="4" t="s">
        <v>651</v>
      </c>
      <c r="B151" t="s">
        <v>888</v>
      </c>
      <c r="C151" t="str">
        <f>LEFT(B151,FIND("_",B151)-1)</f>
        <v>starch</v>
      </c>
      <c r="D151" t="b">
        <f>IF(C151="CTRL",FALSE,TRUE)</f>
        <v>1</v>
      </c>
      <c r="E151" s="7" t="s">
        <v>890</v>
      </c>
      <c r="F151" t="s">
        <v>15</v>
      </c>
      <c r="G151" s="1" t="s">
        <v>354</v>
      </c>
      <c r="H151" s="1">
        <v>14</v>
      </c>
      <c r="I151" s="1" t="s">
        <v>113</v>
      </c>
      <c r="J151" s="6" t="s">
        <v>39</v>
      </c>
    </row>
    <row r="152" spans="1:10" x14ac:dyDescent="0.2">
      <c r="A152" s="4" t="s">
        <v>652</v>
      </c>
      <c r="B152" t="s">
        <v>887</v>
      </c>
      <c r="C152" t="str">
        <f>LEFT(B152,FIND("_",B152)-1)</f>
        <v>starch</v>
      </c>
      <c r="D152" t="b">
        <f>IF(C152="CTRL",FALSE,TRUE)</f>
        <v>1</v>
      </c>
      <c r="E152" s="7" t="s">
        <v>889</v>
      </c>
      <c r="F152" t="s">
        <v>21</v>
      </c>
      <c r="G152" s="1" t="s">
        <v>355</v>
      </c>
      <c r="H152" s="1">
        <v>14</v>
      </c>
      <c r="I152" s="1" t="s">
        <v>115</v>
      </c>
      <c r="J152" s="6" t="s">
        <v>39</v>
      </c>
    </row>
    <row r="153" spans="1:10" x14ac:dyDescent="0.2">
      <c r="A153" s="4" t="s">
        <v>653</v>
      </c>
      <c r="B153" t="s">
        <v>886</v>
      </c>
      <c r="C153" t="str">
        <f>LEFT(B153,FIND("_",B153)-1)</f>
        <v>macroplastic</v>
      </c>
      <c r="D153" t="b">
        <f>IF(C153="CTRL",FALSE,TRUE)</f>
        <v>1</v>
      </c>
      <c r="E153" s="7" t="s">
        <v>890</v>
      </c>
      <c r="F153" t="s">
        <v>21</v>
      </c>
      <c r="G153" s="1" t="s">
        <v>356</v>
      </c>
      <c r="H153" s="1">
        <v>14</v>
      </c>
      <c r="I153" s="1" t="s">
        <v>117</v>
      </c>
      <c r="J153" s="6" t="s">
        <v>39</v>
      </c>
    </row>
    <row r="154" spans="1:10" x14ac:dyDescent="0.2">
      <c r="A154" s="4" t="s">
        <v>654</v>
      </c>
      <c r="B154" t="s">
        <v>884</v>
      </c>
      <c r="C154" t="str">
        <f>LEFT(B154,FIND("_",B154)-1)</f>
        <v>microplastic</v>
      </c>
      <c r="D154" t="b">
        <f>IF(C154="CTRL",FALSE,TRUE)</f>
        <v>1</v>
      </c>
      <c r="E154" s="7" t="s">
        <v>890</v>
      </c>
      <c r="F154" t="s">
        <v>15</v>
      </c>
      <c r="G154" s="1" t="s">
        <v>357</v>
      </c>
      <c r="H154" s="1">
        <v>14</v>
      </c>
      <c r="I154" s="1" t="s">
        <v>119</v>
      </c>
      <c r="J154" s="6" t="s">
        <v>39</v>
      </c>
    </row>
    <row r="155" spans="1:10" x14ac:dyDescent="0.2">
      <c r="A155" s="4" t="s">
        <v>655</v>
      </c>
      <c r="B155" t="s">
        <v>10</v>
      </c>
      <c r="C155" t="str">
        <f>LEFT(B155,FIND("_",B155)-1)</f>
        <v>CTRL</v>
      </c>
      <c r="D155" t="b">
        <v>1</v>
      </c>
      <c r="E155" s="7">
        <v>0</v>
      </c>
      <c r="F155" t="s">
        <v>893</v>
      </c>
      <c r="G155" s="1" t="s">
        <v>358</v>
      </c>
      <c r="H155" s="1">
        <v>14</v>
      </c>
      <c r="I155" s="1" t="s">
        <v>121</v>
      </c>
      <c r="J155" s="6" t="s">
        <v>39</v>
      </c>
    </row>
    <row r="156" spans="1:10" x14ac:dyDescent="0.2">
      <c r="A156" s="4" t="s">
        <v>656</v>
      </c>
      <c r="B156" t="s">
        <v>883</v>
      </c>
      <c r="C156" t="str">
        <f>LEFT(B156,FIND("_",B156)-1)</f>
        <v>microplastic</v>
      </c>
      <c r="D156" t="b">
        <f>IF(C156="CTRL",FALSE,TRUE)</f>
        <v>1</v>
      </c>
      <c r="E156" s="7" t="s">
        <v>889</v>
      </c>
      <c r="F156" t="s">
        <v>15</v>
      </c>
      <c r="G156" s="1" t="s">
        <v>359</v>
      </c>
      <c r="H156" s="1">
        <v>14</v>
      </c>
      <c r="I156" s="1" t="s">
        <v>123</v>
      </c>
      <c r="J156" s="6" t="s">
        <v>39</v>
      </c>
    </row>
    <row r="157" spans="1:10" x14ac:dyDescent="0.2">
      <c r="A157" s="4" t="s">
        <v>657</v>
      </c>
      <c r="B157" t="s">
        <v>885</v>
      </c>
      <c r="C157" t="str">
        <f>LEFT(B157,FIND("_",B157)-1)</f>
        <v>macroplastic</v>
      </c>
      <c r="D157" t="b">
        <f>IF(C157="CTRL",FALSE,TRUE)</f>
        <v>1</v>
      </c>
      <c r="E157" s="7" t="s">
        <v>889</v>
      </c>
      <c r="F157" t="s">
        <v>893</v>
      </c>
      <c r="G157" s="1" t="s">
        <v>360</v>
      </c>
      <c r="H157" s="1">
        <v>14</v>
      </c>
      <c r="I157" s="1" t="s">
        <v>125</v>
      </c>
      <c r="J157" s="6" t="s">
        <v>39</v>
      </c>
    </row>
    <row r="158" spans="1:10" x14ac:dyDescent="0.2">
      <c r="A158" s="4" t="s">
        <v>658</v>
      </c>
      <c r="B158" t="s">
        <v>884</v>
      </c>
      <c r="C158" t="str">
        <f>LEFT(B158,FIND("_",B158)-1)</f>
        <v>microplastic</v>
      </c>
      <c r="D158" t="b">
        <f>IF(C158="CTRL",FALSE,TRUE)</f>
        <v>1</v>
      </c>
      <c r="E158" s="7" t="s">
        <v>890</v>
      </c>
      <c r="F158" t="s">
        <v>893</v>
      </c>
      <c r="G158" s="1" t="s">
        <v>361</v>
      </c>
      <c r="H158" s="1">
        <v>14</v>
      </c>
      <c r="I158" s="1" t="s">
        <v>127</v>
      </c>
      <c r="J158" s="6" t="s">
        <v>39</v>
      </c>
    </row>
    <row r="159" spans="1:10" x14ac:dyDescent="0.2">
      <c r="A159" s="4" t="s">
        <v>659</v>
      </c>
      <c r="B159" t="s">
        <v>20</v>
      </c>
      <c r="C159" t="str">
        <f>LEFT(B159,FIND("_",B159)-1)</f>
        <v>CTRL</v>
      </c>
      <c r="D159" t="b">
        <f>IF(C159="CTRL",FALSE,TRUE)</f>
        <v>0</v>
      </c>
      <c r="E159" s="7">
        <v>0</v>
      </c>
      <c r="F159" t="s">
        <v>15</v>
      </c>
      <c r="G159" s="1" t="s">
        <v>362</v>
      </c>
      <c r="H159" s="1">
        <v>14</v>
      </c>
      <c r="I159" s="1" t="s">
        <v>129</v>
      </c>
      <c r="J159" s="6" t="s">
        <v>39</v>
      </c>
    </row>
    <row r="160" spans="1:10" x14ac:dyDescent="0.2">
      <c r="A160" s="4" t="s">
        <v>660</v>
      </c>
      <c r="B160" t="s">
        <v>888</v>
      </c>
      <c r="C160" t="str">
        <f>LEFT(B160,FIND("_",B160)-1)</f>
        <v>starch</v>
      </c>
      <c r="D160" t="b">
        <f>IF(C160="CTRL",FALSE,TRUE)</f>
        <v>1</v>
      </c>
      <c r="E160" s="7" t="s">
        <v>890</v>
      </c>
      <c r="F160" t="s">
        <v>893</v>
      </c>
      <c r="G160" s="1" t="s">
        <v>363</v>
      </c>
      <c r="H160" s="1">
        <v>14</v>
      </c>
      <c r="I160" s="1" t="s">
        <v>131</v>
      </c>
      <c r="J160" s="6" t="s">
        <v>39</v>
      </c>
    </row>
    <row r="161" spans="1:10" x14ac:dyDescent="0.2">
      <c r="A161" s="4" t="s">
        <v>661</v>
      </c>
      <c r="B161" t="s">
        <v>883</v>
      </c>
      <c r="C161" t="str">
        <f>LEFT(B161,FIND("_",B161)-1)</f>
        <v>microplastic</v>
      </c>
      <c r="D161" t="b">
        <f>IF(C161="CTRL",FALSE,TRUE)</f>
        <v>1</v>
      </c>
      <c r="E161" s="7" t="s">
        <v>889</v>
      </c>
      <c r="F161" t="s">
        <v>893</v>
      </c>
      <c r="G161" s="1" t="s">
        <v>364</v>
      </c>
      <c r="H161" s="1">
        <v>14</v>
      </c>
      <c r="I161" s="1" t="s">
        <v>133</v>
      </c>
      <c r="J161" s="6" t="s">
        <v>39</v>
      </c>
    </row>
    <row r="162" spans="1:10" x14ac:dyDescent="0.2">
      <c r="A162" s="4" t="s">
        <v>662</v>
      </c>
      <c r="B162" t="s">
        <v>888</v>
      </c>
      <c r="C162" t="str">
        <f>LEFT(B162,FIND("_",B162)-1)</f>
        <v>starch</v>
      </c>
      <c r="D162" t="b">
        <f>IF(C162="CTRL",FALSE,TRUE)</f>
        <v>1</v>
      </c>
      <c r="E162" s="7" t="s">
        <v>890</v>
      </c>
      <c r="F162" t="s">
        <v>892</v>
      </c>
      <c r="G162" s="1" t="s">
        <v>365</v>
      </c>
      <c r="H162" s="1">
        <v>14</v>
      </c>
      <c r="I162" s="1" t="s">
        <v>135</v>
      </c>
      <c r="J162" s="6" t="s">
        <v>39</v>
      </c>
    </row>
    <row r="163" spans="1:10" x14ac:dyDescent="0.2">
      <c r="A163" s="4" t="s">
        <v>663</v>
      </c>
      <c r="B163" t="s">
        <v>886</v>
      </c>
      <c r="C163" t="str">
        <f>LEFT(B163,FIND("_",B163)-1)</f>
        <v>macroplastic</v>
      </c>
      <c r="D163" t="b">
        <f>IF(C163="CTRL",FALSE,TRUE)</f>
        <v>1</v>
      </c>
      <c r="E163" s="7" t="s">
        <v>890</v>
      </c>
      <c r="F163" t="s">
        <v>21</v>
      </c>
      <c r="G163" s="1" t="s">
        <v>366</v>
      </c>
      <c r="H163" s="1">
        <v>14</v>
      </c>
      <c r="I163" s="1" t="s">
        <v>137</v>
      </c>
      <c r="J163" s="6" t="s">
        <v>39</v>
      </c>
    </row>
    <row r="164" spans="1:10" x14ac:dyDescent="0.2">
      <c r="A164" s="4" t="s">
        <v>664</v>
      </c>
      <c r="B164" t="s">
        <v>10</v>
      </c>
      <c r="C164" t="str">
        <f>LEFT(B164,FIND("_",B164)-1)</f>
        <v>CTRL</v>
      </c>
      <c r="D164" t="b">
        <v>1</v>
      </c>
      <c r="E164" s="7">
        <v>0</v>
      </c>
      <c r="F164" t="s">
        <v>15</v>
      </c>
      <c r="G164" s="1" t="s">
        <v>367</v>
      </c>
      <c r="H164" s="1">
        <v>14</v>
      </c>
      <c r="I164" s="1" t="s">
        <v>139</v>
      </c>
      <c r="J164" s="6" t="s">
        <v>39</v>
      </c>
    </row>
    <row r="165" spans="1:10" x14ac:dyDescent="0.2">
      <c r="A165" s="4" t="s">
        <v>665</v>
      </c>
      <c r="B165" t="s">
        <v>883</v>
      </c>
      <c r="C165" t="str">
        <f>LEFT(B165,FIND("_",B165)-1)</f>
        <v>microplastic</v>
      </c>
      <c r="D165" t="b">
        <f>IF(C165="CTRL",FALSE,TRUE)</f>
        <v>1</v>
      </c>
      <c r="E165" s="7" t="s">
        <v>889</v>
      </c>
      <c r="F165" t="s">
        <v>892</v>
      </c>
      <c r="G165" s="1" t="s">
        <v>368</v>
      </c>
      <c r="H165" s="1">
        <v>14</v>
      </c>
      <c r="I165" s="1" t="s">
        <v>141</v>
      </c>
      <c r="J165" s="6" t="s">
        <v>39</v>
      </c>
    </row>
    <row r="166" spans="1:10" x14ac:dyDescent="0.2">
      <c r="A166" s="4" t="s">
        <v>666</v>
      </c>
      <c r="B166" t="s">
        <v>20</v>
      </c>
      <c r="C166" t="str">
        <f>LEFT(B166,FIND("_",B166)-1)</f>
        <v>CTRL</v>
      </c>
      <c r="D166" t="b">
        <f>IF(C166="CTRL",FALSE,TRUE)</f>
        <v>0</v>
      </c>
      <c r="E166" s="7">
        <v>0</v>
      </c>
      <c r="F166" t="s">
        <v>15</v>
      </c>
      <c r="G166" s="1" t="s">
        <v>369</v>
      </c>
      <c r="H166" s="1">
        <v>14</v>
      </c>
      <c r="I166" s="1" t="s">
        <v>143</v>
      </c>
      <c r="J166" s="6" t="s">
        <v>39</v>
      </c>
    </row>
    <row r="167" spans="1:10" x14ac:dyDescent="0.2">
      <c r="A167" s="4" t="s">
        <v>667</v>
      </c>
      <c r="B167" t="s">
        <v>884</v>
      </c>
      <c r="C167" t="str">
        <f>LEFT(B167,FIND("_",B167)-1)</f>
        <v>microplastic</v>
      </c>
      <c r="D167" t="b">
        <f>IF(C167="CTRL",FALSE,TRUE)</f>
        <v>1</v>
      </c>
      <c r="E167" s="7" t="s">
        <v>890</v>
      </c>
      <c r="F167" t="s">
        <v>15</v>
      </c>
      <c r="G167" s="1" t="s">
        <v>370</v>
      </c>
      <c r="H167" s="1">
        <v>14</v>
      </c>
      <c r="I167" s="1" t="s">
        <v>145</v>
      </c>
      <c r="J167" s="6" t="s">
        <v>39</v>
      </c>
    </row>
    <row r="168" spans="1:10" x14ac:dyDescent="0.2">
      <c r="A168" s="4" t="s">
        <v>668</v>
      </c>
      <c r="B168" t="s">
        <v>886</v>
      </c>
      <c r="C168" t="str">
        <f>LEFT(B168,FIND("_",B168)-1)</f>
        <v>macroplastic</v>
      </c>
      <c r="D168" t="b">
        <f>IF(C168="CTRL",FALSE,TRUE)</f>
        <v>1</v>
      </c>
      <c r="E168" s="7" t="s">
        <v>890</v>
      </c>
      <c r="F168" t="s">
        <v>21</v>
      </c>
      <c r="G168" s="2" t="s">
        <v>372</v>
      </c>
      <c r="H168" s="1">
        <v>14</v>
      </c>
      <c r="I168" s="1" t="s">
        <v>147</v>
      </c>
      <c r="J168" s="6" t="s">
        <v>39</v>
      </c>
    </row>
    <row r="169" spans="1:10" x14ac:dyDescent="0.2">
      <c r="A169" s="4" t="s">
        <v>669</v>
      </c>
      <c r="B169" t="s">
        <v>888</v>
      </c>
      <c r="C169" t="str">
        <f>LEFT(B169,FIND("_",B169)-1)</f>
        <v>starch</v>
      </c>
      <c r="D169" t="b">
        <f>IF(C169="CTRL",FALSE,TRUE)</f>
        <v>1</v>
      </c>
      <c r="E169" s="7" t="s">
        <v>890</v>
      </c>
      <c r="F169" t="s">
        <v>21</v>
      </c>
      <c r="G169" s="1" t="s">
        <v>373</v>
      </c>
      <c r="H169" s="1">
        <v>14</v>
      </c>
      <c r="I169" s="1" t="s">
        <v>149</v>
      </c>
      <c r="J169" s="6" t="s">
        <v>39</v>
      </c>
    </row>
    <row r="170" spans="1:10" x14ac:dyDescent="0.2">
      <c r="A170" s="4" t="s">
        <v>670</v>
      </c>
      <c r="B170" t="s">
        <v>883</v>
      </c>
      <c r="C170" t="str">
        <f>LEFT(B170,FIND("_",B170)-1)</f>
        <v>microplastic</v>
      </c>
      <c r="D170" t="b">
        <f>IF(C170="CTRL",FALSE,TRUE)</f>
        <v>1</v>
      </c>
      <c r="E170" s="7" t="s">
        <v>889</v>
      </c>
      <c r="F170" t="s">
        <v>893</v>
      </c>
      <c r="G170" s="1" t="s">
        <v>374</v>
      </c>
      <c r="H170" s="1">
        <v>14</v>
      </c>
      <c r="I170" s="1" t="s">
        <v>151</v>
      </c>
      <c r="J170" s="6" t="s">
        <v>39</v>
      </c>
    </row>
    <row r="171" spans="1:10" x14ac:dyDescent="0.2">
      <c r="A171" s="4" t="s">
        <v>671</v>
      </c>
      <c r="B171" t="s">
        <v>887</v>
      </c>
      <c r="C171" t="str">
        <f>LEFT(B171,FIND("_",B171)-1)</f>
        <v>starch</v>
      </c>
      <c r="D171" t="b">
        <f>IF(C171="CTRL",FALSE,TRUE)</f>
        <v>1</v>
      </c>
      <c r="E171" s="7" t="s">
        <v>889</v>
      </c>
      <c r="F171" t="s">
        <v>15</v>
      </c>
      <c r="G171" s="1" t="s">
        <v>375</v>
      </c>
      <c r="H171" s="1">
        <v>14</v>
      </c>
      <c r="I171" s="1" t="s">
        <v>153</v>
      </c>
      <c r="J171" s="6" t="s">
        <v>39</v>
      </c>
    </row>
    <row r="172" spans="1:10" x14ac:dyDescent="0.2">
      <c r="A172" s="4" t="s">
        <v>672</v>
      </c>
      <c r="B172" t="s">
        <v>886</v>
      </c>
      <c r="C172" t="str">
        <f>LEFT(B172,FIND("_",B172)-1)</f>
        <v>macroplastic</v>
      </c>
      <c r="D172" t="b">
        <f>IF(C172="CTRL",FALSE,TRUE)</f>
        <v>1</v>
      </c>
      <c r="E172" s="7" t="s">
        <v>890</v>
      </c>
      <c r="F172" t="s">
        <v>893</v>
      </c>
      <c r="G172" s="1" t="s">
        <v>376</v>
      </c>
      <c r="H172" s="1">
        <v>14</v>
      </c>
      <c r="I172" s="1" t="s">
        <v>155</v>
      </c>
      <c r="J172" s="6" t="s">
        <v>39</v>
      </c>
    </row>
    <row r="173" spans="1:10" x14ac:dyDescent="0.2">
      <c r="A173" s="4" t="s">
        <v>673</v>
      </c>
      <c r="B173" t="s">
        <v>885</v>
      </c>
      <c r="C173" t="str">
        <f>LEFT(B173,FIND("_",B173)-1)</f>
        <v>macroplastic</v>
      </c>
      <c r="D173" t="b">
        <f>IF(C173="CTRL",FALSE,TRUE)</f>
        <v>1</v>
      </c>
      <c r="E173" s="7" t="s">
        <v>889</v>
      </c>
      <c r="F173" t="s">
        <v>15</v>
      </c>
      <c r="G173" s="1" t="s">
        <v>377</v>
      </c>
      <c r="H173" s="1">
        <v>14</v>
      </c>
      <c r="I173" s="1" t="s">
        <v>157</v>
      </c>
      <c r="J173" s="6" t="s">
        <v>39</v>
      </c>
    </row>
    <row r="174" spans="1:10" x14ac:dyDescent="0.2">
      <c r="A174" s="4" t="s">
        <v>674</v>
      </c>
      <c r="B174" t="s">
        <v>885</v>
      </c>
      <c r="C174" t="str">
        <f>LEFT(B174,FIND("_",B174)-1)</f>
        <v>macroplastic</v>
      </c>
      <c r="D174" t="b">
        <f>IF(C174="CTRL",FALSE,TRUE)</f>
        <v>1</v>
      </c>
      <c r="E174" s="7" t="s">
        <v>889</v>
      </c>
      <c r="F174" t="s">
        <v>21</v>
      </c>
      <c r="G174" s="1" t="s">
        <v>378</v>
      </c>
      <c r="H174" s="1">
        <v>14</v>
      </c>
      <c r="I174" s="1" t="s">
        <v>159</v>
      </c>
      <c r="J174" s="6" t="s">
        <v>39</v>
      </c>
    </row>
    <row r="175" spans="1:10" x14ac:dyDescent="0.2">
      <c r="A175" s="4" t="s">
        <v>675</v>
      </c>
      <c r="B175" t="s">
        <v>10</v>
      </c>
      <c r="C175" t="str">
        <f>LEFT(B175,FIND("_",B175)-1)</f>
        <v>CTRL</v>
      </c>
      <c r="D175" t="b">
        <v>1</v>
      </c>
      <c r="E175" s="7">
        <v>0</v>
      </c>
      <c r="F175" t="s">
        <v>21</v>
      </c>
      <c r="G175" s="1" t="s">
        <v>379</v>
      </c>
      <c r="H175" s="1">
        <v>14</v>
      </c>
      <c r="I175" s="1" t="s">
        <v>161</v>
      </c>
      <c r="J175" s="6" t="s">
        <v>39</v>
      </c>
    </row>
    <row r="176" spans="1:10" x14ac:dyDescent="0.2">
      <c r="A176" s="4" t="s">
        <v>676</v>
      </c>
      <c r="B176" t="s">
        <v>883</v>
      </c>
      <c r="C176" t="str">
        <f>LEFT(B176,FIND("_",B176)-1)</f>
        <v>microplastic</v>
      </c>
      <c r="D176" t="b">
        <f>IF(C176="CTRL",FALSE,TRUE)</f>
        <v>1</v>
      </c>
      <c r="E176" s="7" t="s">
        <v>889</v>
      </c>
      <c r="F176" t="s">
        <v>893</v>
      </c>
      <c r="G176" s="1" t="s">
        <v>380</v>
      </c>
      <c r="H176" s="1">
        <v>14</v>
      </c>
      <c r="I176" s="1" t="s">
        <v>163</v>
      </c>
      <c r="J176" s="6" t="s">
        <v>39</v>
      </c>
    </row>
    <row r="177" spans="1:10" x14ac:dyDescent="0.2">
      <c r="A177" s="4" t="s">
        <v>677</v>
      </c>
      <c r="B177" t="s">
        <v>885</v>
      </c>
      <c r="C177" t="str">
        <f>LEFT(B177,FIND("_",B177)-1)</f>
        <v>macroplastic</v>
      </c>
      <c r="D177" t="b">
        <f>IF(C177="CTRL",FALSE,TRUE)</f>
        <v>1</v>
      </c>
      <c r="E177" s="7" t="s">
        <v>889</v>
      </c>
      <c r="F177" t="s">
        <v>892</v>
      </c>
      <c r="G177" s="1" t="s">
        <v>381</v>
      </c>
      <c r="H177" s="1">
        <v>14</v>
      </c>
      <c r="I177" s="1" t="s">
        <v>165</v>
      </c>
      <c r="J177" s="6" t="s">
        <v>39</v>
      </c>
    </row>
    <row r="178" spans="1:10" x14ac:dyDescent="0.2">
      <c r="A178" s="4" t="s">
        <v>678</v>
      </c>
      <c r="B178" t="s">
        <v>886</v>
      </c>
      <c r="C178" t="str">
        <f>LEFT(B178,FIND("_",B178)-1)</f>
        <v>macroplastic</v>
      </c>
      <c r="D178" t="b">
        <f>IF(C178="CTRL",FALSE,TRUE)</f>
        <v>1</v>
      </c>
      <c r="E178" s="7" t="s">
        <v>890</v>
      </c>
      <c r="F178" t="s">
        <v>892</v>
      </c>
      <c r="G178" s="1" t="s">
        <v>382</v>
      </c>
      <c r="H178" s="1">
        <v>14</v>
      </c>
      <c r="I178" s="1" t="s">
        <v>167</v>
      </c>
      <c r="J178" s="6" t="s">
        <v>39</v>
      </c>
    </row>
    <row r="179" spans="1:10" x14ac:dyDescent="0.2">
      <c r="A179" s="4" t="s">
        <v>679</v>
      </c>
      <c r="B179" t="s">
        <v>880</v>
      </c>
      <c r="C179" t="str">
        <f>LEFT(B179,FIND("_",B179)-1)</f>
        <v>CTRL</v>
      </c>
      <c r="D179" t="b">
        <f>IF(C179="CTRL",FALSE,TRUE)</f>
        <v>0</v>
      </c>
      <c r="E179" s="7">
        <v>10</v>
      </c>
      <c r="F179" t="s">
        <v>15</v>
      </c>
      <c r="G179" s="1" t="s">
        <v>383</v>
      </c>
      <c r="H179" s="1">
        <v>14</v>
      </c>
      <c r="I179" s="1" t="s">
        <v>169</v>
      </c>
      <c r="J179" s="6" t="s">
        <v>39</v>
      </c>
    </row>
    <row r="180" spans="1:10" x14ac:dyDescent="0.2">
      <c r="A180" s="4" t="s">
        <v>680</v>
      </c>
      <c r="B180" t="s">
        <v>883</v>
      </c>
      <c r="C180" t="str">
        <f>LEFT(B180,FIND("_",B180)-1)</f>
        <v>microplastic</v>
      </c>
      <c r="D180" t="b">
        <f>IF(C180="CTRL",FALSE,TRUE)</f>
        <v>1</v>
      </c>
      <c r="E180" s="7" t="s">
        <v>889</v>
      </c>
      <c r="F180" t="s">
        <v>21</v>
      </c>
      <c r="G180" s="1" t="s">
        <v>384</v>
      </c>
      <c r="H180" s="1">
        <v>14</v>
      </c>
      <c r="I180" s="1" t="s">
        <v>171</v>
      </c>
      <c r="J180" s="6" t="s">
        <v>39</v>
      </c>
    </row>
    <row r="181" spans="1:10" x14ac:dyDescent="0.2">
      <c r="A181" s="4" t="s">
        <v>681</v>
      </c>
      <c r="B181" t="s">
        <v>881</v>
      </c>
      <c r="C181" t="str">
        <f>LEFT(B181,FIND("_",B181)-1)</f>
        <v>CTRL</v>
      </c>
      <c r="D181" t="b">
        <f>IF(C181="CTRL",FALSE,TRUE)</f>
        <v>0</v>
      </c>
      <c r="E181" s="7">
        <v>10</v>
      </c>
      <c r="F181" t="s">
        <v>21</v>
      </c>
      <c r="G181" s="1" t="s">
        <v>385</v>
      </c>
      <c r="H181" s="1">
        <v>14</v>
      </c>
      <c r="I181" s="1" t="s">
        <v>173</v>
      </c>
      <c r="J181" s="6" t="s">
        <v>39</v>
      </c>
    </row>
    <row r="182" spans="1:10" x14ac:dyDescent="0.2">
      <c r="A182" s="4" t="s">
        <v>682</v>
      </c>
      <c r="B182" t="s">
        <v>884</v>
      </c>
      <c r="C182" t="str">
        <f>LEFT(B182,FIND("_",B182)-1)</f>
        <v>microplastic</v>
      </c>
      <c r="D182" t="b">
        <f>IF(C182="CTRL",FALSE,TRUE)</f>
        <v>1</v>
      </c>
      <c r="E182" s="7" t="s">
        <v>890</v>
      </c>
      <c r="F182" t="s">
        <v>893</v>
      </c>
      <c r="G182" s="1" t="s">
        <v>386</v>
      </c>
      <c r="H182" s="1">
        <v>14</v>
      </c>
      <c r="I182" s="1" t="s">
        <v>175</v>
      </c>
      <c r="J182" s="6" t="s">
        <v>39</v>
      </c>
    </row>
    <row r="183" spans="1:10" x14ac:dyDescent="0.2">
      <c r="A183" s="4" t="s">
        <v>683</v>
      </c>
      <c r="B183" t="s">
        <v>884</v>
      </c>
      <c r="C183" t="str">
        <f>LEFT(B183,FIND("_",B183)-1)</f>
        <v>microplastic</v>
      </c>
      <c r="D183" t="b">
        <f>IF(C183="CTRL",FALSE,TRUE)</f>
        <v>1</v>
      </c>
      <c r="E183" s="7" t="s">
        <v>890</v>
      </c>
      <c r="F183" t="s">
        <v>21</v>
      </c>
      <c r="G183" s="1" t="s">
        <v>387</v>
      </c>
      <c r="H183" s="1">
        <v>14</v>
      </c>
      <c r="I183" s="1" t="s">
        <v>177</v>
      </c>
      <c r="J183" s="6" t="s">
        <v>39</v>
      </c>
    </row>
    <row r="184" spans="1:10" x14ac:dyDescent="0.2">
      <c r="A184" s="4" t="s">
        <v>684</v>
      </c>
      <c r="B184" t="s">
        <v>885</v>
      </c>
      <c r="C184" t="str">
        <f>LEFT(B184,FIND("_",B184)-1)</f>
        <v>macroplastic</v>
      </c>
      <c r="D184" t="b">
        <f>IF(C184="CTRL",FALSE,TRUE)</f>
        <v>1</v>
      </c>
      <c r="E184" s="7" t="s">
        <v>889</v>
      </c>
      <c r="F184" t="s">
        <v>21</v>
      </c>
      <c r="G184" s="1" t="s">
        <v>388</v>
      </c>
      <c r="H184" s="1">
        <v>14</v>
      </c>
      <c r="I184" s="1" t="s">
        <v>179</v>
      </c>
      <c r="J184" s="6" t="s">
        <v>39</v>
      </c>
    </row>
    <row r="185" spans="1:10" x14ac:dyDescent="0.2">
      <c r="A185" s="4" t="s">
        <v>685</v>
      </c>
      <c r="B185" t="s">
        <v>885</v>
      </c>
      <c r="C185" t="str">
        <f>LEFT(B185,FIND("_",B185)-1)</f>
        <v>macroplastic</v>
      </c>
      <c r="D185" t="b">
        <f>IF(C185="CTRL",FALSE,TRUE)</f>
        <v>1</v>
      </c>
      <c r="E185" s="7" t="s">
        <v>889</v>
      </c>
      <c r="F185" t="s">
        <v>15</v>
      </c>
      <c r="G185" s="1" t="s">
        <v>389</v>
      </c>
      <c r="H185" s="1">
        <v>14</v>
      </c>
      <c r="I185" s="1" t="s">
        <v>181</v>
      </c>
      <c r="J185" s="6" t="s">
        <v>39</v>
      </c>
    </row>
    <row r="186" spans="1:10" x14ac:dyDescent="0.2">
      <c r="A186" s="4" t="s">
        <v>686</v>
      </c>
      <c r="B186" t="s">
        <v>888</v>
      </c>
      <c r="C186" t="str">
        <f>LEFT(B186,FIND("_",B186)-1)</f>
        <v>starch</v>
      </c>
      <c r="D186" t="b">
        <f>IF(C186="CTRL",FALSE,TRUE)</f>
        <v>1</v>
      </c>
      <c r="E186" s="7" t="s">
        <v>890</v>
      </c>
      <c r="F186" t="s">
        <v>21</v>
      </c>
      <c r="G186" s="1" t="s">
        <v>390</v>
      </c>
      <c r="H186" s="1">
        <v>14</v>
      </c>
      <c r="I186" s="1" t="s">
        <v>183</v>
      </c>
      <c r="J186" s="6" t="s">
        <v>39</v>
      </c>
    </row>
    <row r="187" spans="1:10" x14ac:dyDescent="0.2">
      <c r="A187" s="4" t="s">
        <v>687</v>
      </c>
      <c r="B187" t="s">
        <v>20</v>
      </c>
      <c r="C187" t="str">
        <f>LEFT(B187,FIND("_",B187)-1)</f>
        <v>CTRL</v>
      </c>
      <c r="D187" t="b">
        <f>IF(C187="CTRL",FALSE,TRUE)</f>
        <v>0</v>
      </c>
      <c r="E187" s="7">
        <v>0</v>
      </c>
      <c r="F187" t="s">
        <v>21</v>
      </c>
      <c r="G187" s="1" t="s">
        <v>391</v>
      </c>
      <c r="H187" s="1">
        <v>14</v>
      </c>
      <c r="I187" s="1" t="s">
        <v>185</v>
      </c>
      <c r="J187" s="6" t="s">
        <v>39</v>
      </c>
    </row>
    <row r="188" spans="1:10" x14ac:dyDescent="0.2">
      <c r="A188" s="4" t="s">
        <v>688</v>
      </c>
      <c r="B188" t="s">
        <v>10</v>
      </c>
      <c r="C188" t="str">
        <f>LEFT(B188,FIND("_",B188)-1)</f>
        <v>CTRL</v>
      </c>
      <c r="D188" t="b">
        <v>1</v>
      </c>
      <c r="E188" s="7">
        <v>0</v>
      </c>
      <c r="F188" t="s">
        <v>15</v>
      </c>
      <c r="G188" s="1" t="s">
        <v>392</v>
      </c>
      <c r="H188" s="1">
        <v>14</v>
      </c>
      <c r="I188" s="1" t="s">
        <v>187</v>
      </c>
      <c r="J188" s="6" t="s">
        <v>39</v>
      </c>
    </row>
    <row r="189" spans="1:10" x14ac:dyDescent="0.2">
      <c r="A189" s="4" t="s">
        <v>689</v>
      </c>
      <c r="B189" t="s">
        <v>10</v>
      </c>
      <c r="C189" t="str">
        <f>LEFT(B189,FIND("_",B189)-1)</f>
        <v>CTRL</v>
      </c>
      <c r="D189" t="b">
        <v>1</v>
      </c>
      <c r="E189" s="7">
        <v>0</v>
      </c>
      <c r="F189" t="s">
        <v>892</v>
      </c>
      <c r="G189" s="1" t="s">
        <v>393</v>
      </c>
      <c r="H189" s="1">
        <v>14</v>
      </c>
      <c r="I189" s="1" t="s">
        <v>189</v>
      </c>
      <c r="J189" s="6" t="s">
        <v>39</v>
      </c>
    </row>
    <row r="190" spans="1:10" x14ac:dyDescent="0.2">
      <c r="A190" s="4" t="s">
        <v>690</v>
      </c>
      <c r="B190" t="s">
        <v>886</v>
      </c>
      <c r="C190" t="str">
        <f>LEFT(B190,FIND("_",B190)-1)</f>
        <v>macroplastic</v>
      </c>
      <c r="D190" t="b">
        <f>IF(C190="CTRL",FALSE,TRUE)</f>
        <v>1</v>
      </c>
      <c r="E190" s="7" t="s">
        <v>890</v>
      </c>
      <c r="F190" t="s">
        <v>15</v>
      </c>
      <c r="G190" s="1" t="s">
        <v>394</v>
      </c>
      <c r="H190" s="1">
        <v>14</v>
      </c>
      <c r="I190" s="1" t="s">
        <v>191</v>
      </c>
      <c r="J190" s="6" t="s">
        <v>39</v>
      </c>
    </row>
    <row r="191" spans="1:10" x14ac:dyDescent="0.2">
      <c r="A191" s="4" t="s">
        <v>691</v>
      </c>
      <c r="B191" t="s">
        <v>887</v>
      </c>
      <c r="C191" t="str">
        <f>LEFT(B191,FIND("_",B191)-1)</f>
        <v>starch</v>
      </c>
      <c r="D191" t="b">
        <f>IF(C191="CTRL",FALSE,TRUE)</f>
        <v>1</v>
      </c>
      <c r="E191" s="7" t="s">
        <v>889</v>
      </c>
      <c r="F191" t="s">
        <v>15</v>
      </c>
      <c r="G191" s="1" t="s">
        <v>395</v>
      </c>
      <c r="H191" s="1">
        <v>14</v>
      </c>
      <c r="I191" s="1" t="s">
        <v>193</v>
      </c>
      <c r="J191" s="6" t="s">
        <v>39</v>
      </c>
    </row>
    <row r="192" spans="1:10" x14ac:dyDescent="0.2">
      <c r="A192" s="4" t="s">
        <v>296</v>
      </c>
      <c r="B192" t="s">
        <v>878</v>
      </c>
      <c r="C192" s="7" t="s">
        <v>371</v>
      </c>
      <c r="D192" s="7" t="s">
        <v>371</v>
      </c>
      <c r="E192" s="7" t="s">
        <v>371</v>
      </c>
      <c r="F192" s="7" t="s">
        <v>371</v>
      </c>
      <c r="G192" s="1" t="s">
        <v>396</v>
      </c>
      <c r="H192" s="1">
        <v>14</v>
      </c>
      <c r="I192" s="1" t="s">
        <v>195</v>
      </c>
      <c r="J192" s="6" t="s">
        <v>39</v>
      </c>
    </row>
    <row r="193" spans="1:10" ht="17" thickBot="1" x14ac:dyDescent="0.25">
      <c r="A193" s="13" t="s">
        <v>298</v>
      </c>
      <c r="B193" s="10" t="s">
        <v>879</v>
      </c>
      <c r="C193" s="10" t="s">
        <v>371</v>
      </c>
      <c r="D193" s="10" t="s">
        <v>371</v>
      </c>
      <c r="E193" s="14" t="s">
        <v>371</v>
      </c>
      <c r="F193" s="14" t="s">
        <v>371</v>
      </c>
      <c r="G193" s="15" t="s">
        <v>398</v>
      </c>
      <c r="H193" s="15">
        <v>14</v>
      </c>
      <c r="I193" s="15" t="s">
        <v>198</v>
      </c>
      <c r="J193" s="16" t="s">
        <v>39</v>
      </c>
    </row>
    <row r="194" spans="1:10" x14ac:dyDescent="0.2">
      <c r="A194" s="4" t="s">
        <v>300</v>
      </c>
      <c r="B194" t="s">
        <v>879</v>
      </c>
      <c r="C194" t="s">
        <v>371</v>
      </c>
      <c r="D194" t="s">
        <v>371</v>
      </c>
      <c r="E194" s="7" t="s">
        <v>371</v>
      </c>
      <c r="F194" s="7" t="s">
        <v>371</v>
      </c>
      <c r="G194" s="1" t="s">
        <v>400</v>
      </c>
      <c r="H194" s="1">
        <v>15</v>
      </c>
      <c r="I194" s="1" t="s">
        <v>2</v>
      </c>
      <c r="J194" s="6" t="s">
        <v>55</v>
      </c>
    </row>
    <row r="195" spans="1:10" x14ac:dyDescent="0.2">
      <c r="A195" s="4" t="s">
        <v>692</v>
      </c>
      <c r="B195" t="s">
        <v>883</v>
      </c>
      <c r="C195" t="str">
        <f>LEFT(B195,FIND("_",B195)-1)</f>
        <v>microplastic</v>
      </c>
      <c r="D195" t="b">
        <f>IF(C195="CTRL",FALSE,TRUE)</f>
        <v>1</v>
      </c>
      <c r="E195" s="7" t="s">
        <v>889</v>
      </c>
      <c r="F195" t="s">
        <v>892</v>
      </c>
      <c r="G195" s="1" t="s">
        <v>401</v>
      </c>
      <c r="H195" s="1">
        <v>15</v>
      </c>
      <c r="I195" s="1" t="s">
        <v>5</v>
      </c>
      <c r="J195" s="6" t="s">
        <v>55</v>
      </c>
    </row>
    <row r="196" spans="1:10" x14ac:dyDescent="0.2">
      <c r="A196" s="4" t="s">
        <v>693</v>
      </c>
      <c r="B196" t="s">
        <v>884</v>
      </c>
      <c r="C196" t="str">
        <f>LEFT(B196,FIND("_",B196)-1)</f>
        <v>microplastic</v>
      </c>
      <c r="D196" t="b">
        <f>IF(C196="CTRL",FALSE,TRUE)</f>
        <v>1</v>
      </c>
      <c r="E196" s="7" t="s">
        <v>890</v>
      </c>
      <c r="F196" t="s">
        <v>892</v>
      </c>
      <c r="G196" s="1" t="s">
        <v>402</v>
      </c>
      <c r="H196" s="1">
        <v>15</v>
      </c>
      <c r="I196" s="1" t="s">
        <v>7</v>
      </c>
      <c r="J196" s="6" t="s">
        <v>55</v>
      </c>
    </row>
    <row r="197" spans="1:10" x14ac:dyDescent="0.2">
      <c r="A197" s="4" t="s">
        <v>694</v>
      </c>
      <c r="B197" t="s">
        <v>10</v>
      </c>
      <c r="C197" t="str">
        <f>LEFT(B197,FIND("_",B197)-1)</f>
        <v>CTRL</v>
      </c>
      <c r="D197" t="b">
        <v>1</v>
      </c>
      <c r="E197" s="7">
        <v>0</v>
      </c>
      <c r="F197" t="s">
        <v>892</v>
      </c>
      <c r="G197" s="1" t="s">
        <v>403</v>
      </c>
      <c r="H197" s="1">
        <v>15</v>
      </c>
      <c r="I197" s="1" t="s">
        <v>9</v>
      </c>
      <c r="J197" s="6" t="s">
        <v>55</v>
      </c>
    </row>
    <row r="198" spans="1:10" x14ac:dyDescent="0.2">
      <c r="A198" s="4" t="s">
        <v>695</v>
      </c>
      <c r="B198" t="s">
        <v>884</v>
      </c>
      <c r="C198" t="str">
        <f>LEFT(B198,FIND("_",B198)-1)</f>
        <v>microplastic</v>
      </c>
      <c r="D198" t="b">
        <f>IF(C198="CTRL",FALSE,TRUE)</f>
        <v>1</v>
      </c>
      <c r="E198" s="7" t="s">
        <v>890</v>
      </c>
      <c r="F198" t="s">
        <v>893</v>
      </c>
      <c r="G198" s="1" t="s">
        <v>404</v>
      </c>
      <c r="H198" s="1">
        <v>15</v>
      </c>
      <c r="I198" s="1" t="s">
        <v>12</v>
      </c>
      <c r="J198" s="6" t="s">
        <v>55</v>
      </c>
    </row>
    <row r="199" spans="1:10" x14ac:dyDescent="0.2">
      <c r="A199" s="4" t="s">
        <v>696</v>
      </c>
      <c r="B199" t="s">
        <v>886</v>
      </c>
      <c r="C199" t="str">
        <f>LEFT(B199,FIND("_",B199)-1)</f>
        <v>macroplastic</v>
      </c>
      <c r="D199" t="b">
        <f>IF(C199="CTRL",FALSE,TRUE)</f>
        <v>1</v>
      </c>
      <c r="E199" s="7" t="s">
        <v>890</v>
      </c>
      <c r="F199" t="s">
        <v>15</v>
      </c>
      <c r="G199" s="1" t="s">
        <v>405</v>
      </c>
      <c r="H199" s="1">
        <v>15</v>
      </c>
      <c r="I199" s="1" t="s">
        <v>14</v>
      </c>
      <c r="J199" s="6" t="s">
        <v>55</v>
      </c>
    </row>
    <row r="200" spans="1:10" x14ac:dyDescent="0.2">
      <c r="A200" s="4" t="s">
        <v>697</v>
      </c>
      <c r="B200" t="s">
        <v>886</v>
      </c>
      <c r="C200" t="str">
        <f>LEFT(B200,FIND("_",B200)-1)</f>
        <v>macroplastic</v>
      </c>
      <c r="D200" t="b">
        <f>IF(C200="CTRL",FALSE,TRUE)</f>
        <v>1</v>
      </c>
      <c r="E200" s="7" t="s">
        <v>890</v>
      </c>
      <c r="F200" t="s">
        <v>15</v>
      </c>
      <c r="G200" s="1" t="s">
        <v>406</v>
      </c>
      <c r="H200" s="1">
        <v>15</v>
      </c>
      <c r="I200" s="1" t="s">
        <v>17</v>
      </c>
      <c r="J200" s="6" t="s">
        <v>55</v>
      </c>
    </row>
    <row r="201" spans="1:10" x14ac:dyDescent="0.2">
      <c r="A201" s="4" t="s">
        <v>698</v>
      </c>
      <c r="B201" t="s">
        <v>20</v>
      </c>
      <c r="C201" t="str">
        <f>LEFT(B201,FIND("_",B201)-1)</f>
        <v>CTRL</v>
      </c>
      <c r="D201" t="b">
        <f>IF(C201="CTRL",FALSE,TRUE)</f>
        <v>0</v>
      </c>
      <c r="E201" s="7">
        <v>0</v>
      </c>
      <c r="F201" t="s">
        <v>21</v>
      </c>
      <c r="G201" s="1" t="s">
        <v>407</v>
      </c>
      <c r="H201" s="1">
        <v>15</v>
      </c>
      <c r="I201" s="1" t="s">
        <v>19</v>
      </c>
      <c r="J201" s="6" t="s">
        <v>55</v>
      </c>
    </row>
    <row r="202" spans="1:10" x14ac:dyDescent="0.2">
      <c r="A202" s="4" t="s">
        <v>699</v>
      </c>
      <c r="B202" t="s">
        <v>886</v>
      </c>
      <c r="C202" t="str">
        <f>LEFT(B202,FIND("_",B202)-1)</f>
        <v>macroplastic</v>
      </c>
      <c r="D202" t="b">
        <f>IF(C202="CTRL",FALSE,TRUE)</f>
        <v>1</v>
      </c>
      <c r="E202" s="7" t="s">
        <v>890</v>
      </c>
      <c r="F202" t="s">
        <v>893</v>
      </c>
      <c r="G202" s="1" t="s">
        <v>408</v>
      </c>
      <c r="H202" s="1">
        <v>15</v>
      </c>
      <c r="I202" s="1" t="s">
        <v>23</v>
      </c>
      <c r="J202" s="6" t="s">
        <v>55</v>
      </c>
    </row>
    <row r="203" spans="1:10" x14ac:dyDescent="0.2">
      <c r="A203" s="4" t="s">
        <v>700</v>
      </c>
      <c r="B203" t="s">
        <v>887</v>
      </c>
      <c r="C203" t="str">
        <f>LEFT(B203,FIND("_",B203)-1)</f>
        <v>starch</v>
      </c>
      <c r="D203" t="b">
        <f>IF(C203="CTRL",FALSE,TRUE)</f>
        <v>1</v>
      </c>
      <c r="E203" s="7" t="s">
        <v>889</v>
      </c>
      <c r="F203" t="s">
        <v>21</v>
      </c>
      <c r="G203" s="1" t="s">
        <v>409</v>
      </c>
      <c r="H203" s="1">
        <v>15</v>
      </c>
      <c r="I203" s="1" t="s">
        <v>25</v>
      </c>
      <c r="J203" s="6" t="s">
        <v>55</v>
      </c>
    </row>
    <row r="204" spans="1:10" x14ac:dyDescent="0.2">
      <c r="A204" s="4" t="s">
        <v>701</v>
      </c>
      <c r="B204" t="s">
        <v>888</v>
      </c>
      <c r="C204" t="str">
        <f>LEFT(B204,FIND("_",B204)-1)</f>
        <v>starch</v>
      </c>
      <c r="D204" t="b">
        <f>IF(C204="CTRL",FALSE,TRUE)</f>
        <v>1</v>
      </c>
      <c r="E204" s="7" t="s">
        <v>890</v>
      </c>
      <c r="F204" t="s">
        <v>893</v>
      </c>
      <c r="G204" s="1" t="s">
        <v>410</v>
      </c>
      <c r="H204" s="1">
        <v>15</v>
      </c>
      <c r="I204" s="1" t="s">
        <v>27</v>
      </c>
      <c r="J204" s="6" t="s">
        <v>55</v>
      </c>
    </row>
    <row r="205" spans="1:10" x14ac:dyDescent="0.2">
      <c r="A205" s="4" t="s">
        <v>702</v>
      </c>
      <c r="B205" t="s">
        <v>885</v>
      </c>
      <c r="C205" t="str">
        <f>LEFT(B205,FIND("_",B205)-1)</f>
        <v>macroplastic</v>
      </c>
      <c r="D205" t="b">
        <f>IF(C205="CTRL",FALSE,TRUE)</f>
        <v>1</v>
      </c>
      <c r="E205" s="7" t="s">
        <v>889</v>
      </c>
      <c r="F205" t="s">
        <v>15</v>
      </c>
      <c r="G205" s="1" t="s">
        <v>411</v>
      </c>
      <c r="H205" s="1">
        <v>15</v>
      </c>
      <c r="I205" s="1" t="s">
        <v>29</v>
      </c>
      <c r="J205" s="6" t="s">
        <v>55</v>
      </c>
    </row>
    <row r="206" spans="1:10" x14ac:dyDescent="0.2">
      <c r="A206" s="4" t="s">
        <v>703</v>
      </c>
      <c r="B206" t="s">
        <v>10</v>
      </c>
      <c r="C206" t="str">
        <f>LEFT(B206,FIND("_",B206)-1)</f>
        <v>CTRL</v>
      </c>
      <c r="D206" t="b">
        <v>1</v>
      </c>
      <c r="E206" s="7">
        <v>0</v>
      </c>
      <c r="F206" t="s">
        <v>892</v>
      </c>
      <c r="G206" s="1" t="s">
        <v>412</v>
      </c>
      <c r="H206" s="1">
        <v>15</v>
      </c>
      <c r="I206" s="1" t="s">
        <v>31</v>
      </c>
      <c r="J206" s="6" t="s">
        <v>55</v>
      </c>
    </row>
    <row r="207" spans="1:10" x14ac:dyDescent="0.2">
      <c r="A207" s="4" t="s">
        <v>704</v>
      </c>
      <c r="B207" t="s">
        <v>887</v>
      </c>
      <c r="C207" t="str">
        <f>LEFT(B207,FIND("_",B207)-1)</f>
        <v>starch</v>
      </c>
      <c r="D207" t="b">
        <f>IF(C207="CTRL",FALSE,TRUE)</f>
        <v>1</v>
      </c>
      <c r="E207" s="7" t="s">
        <v>889</v>
      </c>
      <c r="F207" t="s">
        <v>893</v>
      </c>
      <c r="G207" s="1" t="s">
        <v>413</v>
      </c>
      <c r="H207" s="1">
        <v>15</v>
      </c>
      <c r="I207" s="1" t="s">
        <v>33</v>
      </c>
      <c r="J207" s="6" t="s">
        <v>55</v>
      </c>
    </row>
    <row r="208" spans="1:10" x14ac:dyDescent="0.2">
      <c r="A208" s="4" t="s">
        <v>705</v>
      </c>
      <c r="B208" t="s">
        <v>884</v>
      </c>
      <c r="C208" t="str">
        <f>LEFT(B208,FIND("_",B208)-1)</f>
        <v>microplastic</v>
      </c>
      <c r="D208" t="b">
        <f>IF(C208="CTRL",FALSE,TRUE)</f>
        <v>1</v>
      </c>
      <c r="E208" s="7" t="s">
        <v>890</v>
      </c>
      <c r="F208" t="s">
        <v>893</v>
      </c>
      <c r="G208" s="1" t="s">
        <v>414</v>
      </c>
      <c r="H208" s="1">
        <v>15</v>
      </c>
      <c r="I208" s="1" t="s">
        <v>35</v>
      </c>
      <c r="J208" s="6" t="s">
        <v>55</v>
      </c>
    </row>
    <row r="209" spans="1:10" x14ac:dyDescent="0.2">
      <c r="A209" s="4" t="s">
        <v>706</v>
      </c>
      <c r="B209" t="s">
        <v>887</v>
      </c>
      <c r="C209" t="str">
        <f>LEFT(B209,FIND("_",B209)-1)</f>
        <v>starch</v>
      </c>
      <c r="D209" t="b">
        <f>IF(C209="CTRL",FALSE,TRUE)</f>
        <v>1</v>
      </c>
      <c r="E209" s="7" t="s">
        <v>889</v>
      </c>
      <c r="F209" t="s">
        <v>892</v>
      </c>
      <c r="G209" s="1" t="s">
        <v>415</v>
      </c>
      <c r="H209" s="1">
        <v>15</v>
      </c>
      <c r="I209" s="1" t="s">
        <v>37</v>
      </c>
      <c r="J209" s="6" t="s">
        <v>55</v>
      </c>
    </row>
    <row r="210" spans="1:10" x14ac:dyDescent="0.2">
      <c r="A210" s="4" t="s">
        <v>707</v>
      </c>
      <c r="B210" t="s">
        <v>885</v>
      </c>
      <c r="C210" t="str">
        <f>LEFT(B210,FIND("_",B210)-1)</f>
        <v>macroplastic</v>
      </c>
      <c r="D210" t="b">
        <f>IF(C210="CTRL",FALSE,TRUE)</f>
        <v>1</v>
      </c>
      <c r="E210" s="7" t="s">
        <v>889</v>
      </c>
      <c r="F210" t="s">
        <v>892</v>
      </c>
      <c r="G210" s="1" t="s">
        <v>416</v>
      </c>
      <c r="H210" s="1">
        <v>15</v>
      </c>
      <c r="I210" s="1" t="s">
        <v>39</v>
      </c>
      <c r="J210" s="6" t="s">
        <v>55</v>
      </c>
    </row>
    <row r="211" spans="1:10" x14ac:dyDescent="0.2">
      <c r="A211" s="4" t="s">
        <v>708</v>
      </c>
      <c r="B211" t="s">
        <v>10</v>
      </c>
      <c r="C211" t="str">
        <f>LEFT(B211,FIND("_",B211)-1)</f>
        <v>CTRL</v>
      </c>
      <c r="D211" t="b">
        <v>1</v>
      </c>
      <c r="E211" s="7">
        <v>0</v>
      </c>
      <c r="F211" t="s">
        <v>15</v>
      </c>
      <c r="G211" s="1" t="s">
        <v>417</v>
      </c>
      <c r="H211" s="1">
        <v>15</v>
      </c>
      <c r="I211" s="1" t="s">
        <v>41</v>
      </c>
      <c r="J211" s="6" t="s">
        <v>55</v>
      </c>
    </row>
    <row r="212" spans="1:10" x14ac:dyDescent="0.2">
      <c r="A212" s="4" t="s">
        <v>709</v>
      </c>
      <c r="B212" t="s">
        <v>885</v>
      </c>
      <c r="C212" t="str">
        <f>LEFT(B212,FIND("_",B212)-1)</f>
        <v>macroplastic</v>
      </c>
      <c r="D212" t="b">
        <f>IF(C212="CTRL",FALSE,TRUE)</f>
        <v>1</v>
      </c>
      <c r="E212" s="7" t="s">
        <v>889</v>
      </c>
      <c r="F212" t="s">
        <v>893</v>
      </c>
      <c r="G212" s="1" t="s">
        <v>418</v>
      </c>
      <c r="H212" s="1">
        <v>15</v>
      </c>
      <c r="I212" s="1" t="s">
        <v>43</v>
      </c>
      <c r="J212" s="6" t="s">
        <v>55</v>
      </c>
    </row>
    <row r="213" spans="1:10" x14ac:dyDescent="0.2">
      <c r="A213" s="4" t="s">
        <v>710</v>
      </c>
      <c r="B213" t="s">
        <v>10</v>
      </c>
      <c r="C213" t="str">
        <f>LEFT(B213,FIND("_",B213)-1)</f>
        <v>CTRL</v>
      </c>
      <c r="D213" t="b">
        <v>1</v>
      </c>
      <c r="E213" s="7">
        <v>0</v>
      </c>
      <c r="F213" t="s">
        <v>893</v>
      </c>
      <c r="G213" s="1" t="s">
        <v>419</v>
      </c>
      <c r="H213" s="1">
        <v>15</v>
      </c>
      <c r="I213" s="1" t="s">
        <v>45</v>
      </c>
      <c r="J213" s="6" t="s">
        <v>55</v>
      </c>
    </row>
    <row r="214" spans="1:10" x14ac:dyDescent="0.2">
      <c r="A214" s="4" t="s">
        <v>711</v>
      </c>
      <c r="B214" t="s">
        <v>882</v>
      </c>
      <c r="C214" t="str">
        <f>LEFT(B214,FIND("_",B214)-1)</f>
        <v>CTRL</v>
      </c>
      <c r="D214" t="b">
        <f>IF(C214="CTRL",FALSE,TRUE)</f>
        <v>0</v>
      </c>
      <c r="E214" s="7">
        <v>10</v>
      </c>
      <c r="F214" t="s">
        <v>21</v>
      </c>
      <c r="G214" s="1" t="s">
        <v>420</v>
      </c>
      <c r="H214" s="1">
        <v>15</v>
      </c>
      <c r="I214" s="1" t="s">
        <v>47</v>
      </c>
      <c r="J214" s="6" t="s">
        <v>55</v>
      </c>
    </row>
    <row r="215" spans="1:10" x14ac:dyDescent="0.2">
      <c r="A215" s="4" t="s">
        <v>712</v>
      </c>
      <c r="B215" t="s">
        <v>885</v>
      </c>
      <c r="C215" t="str">
        <f>LEFT(B215,FIND("_",B215)-1)</f>
        <v>macroplastic</v>
      </c>
      <c r="D215" t="b">
        <f>IF(C215="CTRL",FALSE,TRUE)</f>
        <v>1</v>
      </c>
      <c r="E215" s="7" t="s">
        <v>889</v>
      </c>
      <c r="F215" t="s">
        <v>892</v>
      </c>
      <c r="G215" s="1" t="s">
        <v>421</v>
      </c>
      <c r="H215" s="1">
        <v>15</v>
      </c>
      <c r="I215" s="1" t="s">
        <v>49</v>
      </c>
      <c r="J215" s="6" t="s">
        <v>55</v>
      </c>
    </row>
    <row r="216" spans="1:10" x14ac:dyDescent="0.2">
      <c r="A216" s="4" t="s">
        <v>713</v>
      </c>
      <c r="B216" t="s">
        <v>883</v>
      </c>
      <c r="C216" t="str">
        <f>LEFT(B216,FIND("_",B216)-1)</f>
        <v>microplastic</v>
      </c>
      <c r="D216" t="b">
        <f>IF(C216="CTRL",FALSE,TRUE)</f>
        <v>1</v>
      </c>
      <c r="E216" s="7" t="s">
        <v>889</v>
      </c>
      <c r="F216" t="s">
        <v>15</v>
      </c>
      <c r="G216" s="1" t="s">
        <v>422</v>
      </c>
      <c r="H216" s="1">
        <v>15</v>
      </c>
      <c r="I216" s="1" t="s">
        <v>51</v>
      </c>
      <c r="J216" s="6" t="s">
        <v>55</v>
      </c>
    </row>
    <row r="217" spans="1:10" x14ac:dyDescent="0.2">
      <c r="A217" s="4" t="s">
        <v>714</v>
      </c>
      <c r="B217" t="s">
        <v>887</v>
      </c>
      <c r="C217" t="str">
        <f>LEFT(B217,FIND("_",B217)-1)</f>
        <v>starch</v>
      </c>
      <c r="D217" t="b">
        <f>IF(C217="CTRL",FALSE,TRUE)</f>
        <v>1</v>
      </c>
      <c r="E217" s="7" t="s">
        <v>889</v>
      </c>
      <c r="F217" t="s">
        <v>21</v>
      </c>
      <c r="G217" s="1" t="s">
        <v>423</v>
      </c>
      <c r="H217" s="1">
        <v>15</v>
      </c>
      <c r="I217" s="1" t="s">
        <v>53</v>
      </c>
      <c r="J217" s="6" t="s">
        <v>55</v>
      </c>
    </row>
    <row r="218" spans="1:10" x14ac:dyDescent="0.2">
      <c r="A218" s="4" t="s">
        <v>715</v>
      </c>
      <c r="B218" t="s">
        <v>886</v>
      </c>
      <c r="C218" t="str">
        <f>LEFT(B218,FIND("_",B218)-1)</f>
        <v>macroplastic</v>
      </c>
      <c r="D218" t="b">
        <f>IF(C218="CTRL",FALSE,TRUE)</f>
        <v>1</v>
      </c>
      <c r="E218" s="7" t="s">
        <v>890</v>
      </c>
      <c r="F218" t="s">
        <v>893</v>
      </c>
      <c r="G218" s="1" t="s">
        <v>424</v>
      </c>
      <c r="H218" s="1">
        <v>15</v>
      </c>
      <c r="I218" s="1" t="s">
        <v>55</v>
      </c>
      <c r="J218" s="6" t="s">
        <v>55</v>
      </c>
    </row>
    <row r="219" spans="1:10" x14ac:dyDescent="0.2">
      <c r="A219" s="4" t="s">
        <v>716</v>
      </c>
      <c r="B219" t="s">
        <v>887</v>
      </c>
      <c r="C219" t="str">
        <f>LEFT(B219,FIND("_",B219)-1)</f>
        <v>starch</v>
      </c>
      <c r="D219" t="b">
        <f>IF(C219="CTRL",FALSE,TRUE)</f>
        <v>1</v>
      </c>
      <c r="E219" s="7" t="s">
        <v>889</v>
      </c>
      <c r="F219" t="s">
        <v>892</v>
      </c>
      <c r="G219" s="1" t="s">
        <v>425</v>
      </c>
      <c r="H219" s="1">
        <v>15</v>
      </c>
      <c r="I219" s="1" t="s">
        <v>57</v>
      </c>
      <c r="J219" s="6" t="s">
        <v>55</v>
      </c>
    </row>
    <row r="220" spans="1:10" x14ac:dyDescent="0.2">
      <c r="A220" s="4" t="s">
        <v>717</v>
      </c>
      <c r="B220" t="s">
        <v>885</v>
      </c>
      <c r="C220" t="str">
        <f>LEFT(B220,FIND("_",B220)-1)</f>
        <v>macroplastic</v>
      </c>
      <c r="D220" t="b">
        <f>IF(C220="CTRL",FALSE,TRUE)</f>
        <v>1</v>
      </c>
      <c r="E220" s="7" t="s">
        <v>889</v>
      </c>
      <c r="F220" t="s">
        <v>892</v>
      </c>
      <c r="G220" s="1" t="s">
        <v>426</v>
      </c>
      <c r="H220" s="1">
        <v>15</v>
      </c>
      <c r="I220" s="1" t="s">
        <v>59</v>
      </c>
      <c r="J220" s="6" t="s">
        <v>55</v>
      </c>
    </row>
    <row r="221" spans="1:10" x14ac:dyDescent="0.2">
      <c r="A221" s="4" t="s">
        <v>718</v>
      </c>
      <c r="B221" t="s">
        <v>886</v>
      </c>
      <c r="C221" t="str">
        <f>LEFT(B221,FIND("_",B221)-1)</f>
        <v>macroplastic</v>
      </c>
      <c r="D221" t="b">
        <f>IF(C221="CTRL",FALSE,TRUE)</f>
        <v>1</v>
      </c>
      <c r="E221" s="7" t="s">
        <v>890</v>
      </c>
      <c r="F221" t="s">
        <v>21</v>
      </c>
      <c r="G221" s="1" t="s">
        <v>427</v>
      </c>
      <c r="H221" s="1">
        <v>15</v>
      </c>
      <c r="I221" s="1" t="s">
        <v>61</v>
      </c>
      <c r="J221" s="6" t="s">
        <v>55</v>
      </c>
    </row>
    <row r="222" spans="1:10" x14ac:dyDescent="0.2">
      <c r="A222" s="4" t="s">
        <v>719</v>
      </c>
      <c r="B222" t="s">
        <v>888</v>
      </c>
      <c r="C222" t="str">
        <f>LEFT(B222,FIND("_",B222)-1)</f>
        <v>starch</v>
      </c>
      <c r="D222" t="b">
        <f>IF(C222="CTRL",FALSE,TRUE)</f>
        <v>1</v>
      </c>
      <c r="E222" s="7" t="s">
        <v>890</v>
      </c>
      <c r="F222" t="s">
        <v>893</v>
      </c>
      <c r="G222" s="1" t="s">
        <v>428</v>
      </c>
      <c r="H222" s="1">
        <v>15</v>
      </c>
      <c r="I222" s="1" t="s">
        <v>63</v>
      </c>
      <c r="J222" s="6" t="s">
        <v>55</v>
      </c>
    </row>
    <row r="223" spans="1:10" x14ac:dyDescent="0.2">
      <c r="A223" s="4" t="s">
        <v>720</v>
      </c>
      <c r="B223" t="s">
        <v>884</v>
      </c>
      <c r="C223" t="str">
        <f>LEFT(B223,FIND("_",B223)-1)</f>
        <v>microplastic</v>
      </c>
      <c r="D223" t="b">
        <f>IF(C223="CTRL",FALSE,TRUE)</f>
        <v>1</v>
      </c>
      <c r="E223" s="7" t="s">
        <v>890</v>
      </c>
      <c r="F223" t="s">
        <v>15</v>
      </c>
      <c r="G223" s="1" t="s">
        <v>429</v>
      </c>
      <c r="H223" s="1">
        <v>15</v>
      </c>
      <c r="I223" s="1" t="s">
        <v>65</v>
      </c>
      <c r="J223" s="6" t="s">
        <v>55</v>
      </c>
    </row>
    <row r="224" spans="1:10" x14ac:dyDescent="0.2">
      <c r="A224" s="4" t="s">
        <v>721</v>
      </c>
      <c r="B224" t="s">
        <v>884</v>
      </c>
      <c r="C224" t="str">
        <f>LEFT(B224,FIND("_",B224)-1)</f>
        <v>microplastic</v>
      </c>
      <c r="D224" t="b">
        <f>IF(C224="CTRL",FALSE,TRUE)</f>
        <v>1</v>
      </c>
      <c r="E224" s="7" t="s">
        <v>890</v>
      </c>
      <c r="F224" t="s">
        <v>893</v>
      </c>
      <c r="G224" s="1" t="s">
        <v>430</v>
      </c>
      <c r="H224" s="1">
        <v>15</v>
      </c>
      <c r="I224" s="1" t="s">
        <v>67</v>
      </c>
      <c r="J224" s="6" t="s">
        <v>55</v>
      </c>
    </row>
    <row r="225" spans="1:10" x14ac:dyDescent="0.2">
      <c r="A225" s="4" t="s">
        <v>722</v>
      </c>
      <c r="B225" t="s">
        <v>882</v>
      </c>
      <c r="C225" t="str">
        <f>LEFT(B225,FIND("_",B225)-1)</f>
        <v>CTRL</v>
      </c>
      <c r="D225" t="b">
        <f>IF(C225="CTRL",FALSE,TRUE)</f>
        <v>0</v>
      </c>
      <c r="E225" s="7">
        <v>10</v>
      </c>
      <c r="F225" t="s">
        <v>15</v>
      </c>
      <c r="G225" s="1" t="s">
        <v>431</v>
      </c>
      <c r="H225" s="1">
        <v>15</v>
      </c>
      <c r="I225" s="1" t="s">
        <v>69</v>
      </c>
      <c r="J225" s="6" t="s">
        <v>55</v>
      </c>
    </row>
    <row r="226" spans="1:10" x14ac:dyDescent="0.2">
      <c r="A226" s="4" t="s">
        <v>723</v>
      </c>
      <c r="B226" t="s">
        <v>887</v>
      </c>
      <c r="C226" t="str">
        <f>LEFT(B226,FIND("_",B226)-1)</f>
        <v>starch</v>
      </c>
      <c r="D226" t="b">
        <f>IF(C226="CTRL",FALSE,TRUE)</f>
        <v>1</v>
      </c>
      <c r="E226" s="7" t="s">
        <v>889</v>
      </c>
      <c r="F226" t="s">
        <v>892</v>
      </c>
      <c r="G226" s="1" t="s">
        <v>432</v>
      </c>
      <c r="H226" s="1">
        <v>15</v>
      </c>
      <c r="I226" s="1" t="s">
        <v>71</v>
      </c>
      <c r="J226" s="6" t="s">
        <v>55</v>
      </c>
    </row>
    <row r="227" spans="1:10" x14ac:dyDescent="0.2">
      <c r="A227" s="4" t="s">
        <v>724</v>
      </c>
      <c r="B227" t="s">
        <v>10</v>
      </c>
      <c r="C227" t="str">
        <f>LEFT(B227,FIND("_",B227)-1)</f>
        <v>CTRL</v>
      </c>
      <c r="D227" t="b">
        <v>1</v>
      </c>
      <c r="E227" s="7">
        <v>0</v>
      </c>
      <c r="F227" t="s">
        <v>21</v>
      </c>
      <c r="G227" s="1" t="s">
        <v>433</v>
      </c>
      <c r="H227" s="1">
        <v>15</v>
      </c>
      <c r="I227" s="1" t="s">
        <v>73</v>
      </c>
      <c r="J227" s="6" t="s">
        <v>55</v>
      </c>
    </row>
    <row r="228" spans="1:10" x14ac:dyDescent="0.2">
      <c r="A228" s="4" t="s">
        <v>725</v>
      </c>
      <c r="B228" t="s">
        <v>10</v>
      </c>
      <c r="C228" t="str">
        <f>LEFT(B228,FIND("_",B228)-1)</f>
        <v>CTRL</v>
      </c>
      <c r="D228" t="b">
        <v>1</v>
      </c>
      <c r="E228" s="7">
        <v>0</v>
      </c>
      <c r="F228" t="s">
        <v>21</v>
      </c>
      <c r="G228" s="1" t="s">
        <v>434</v>
      </c>
      <c r="H228" s="1">
        <v>15</v>
      </c>
      <c r="I228" s="1" t="s">
        <v>75</v>
      </c>
      <c r="J228" s="6" t="s">
        <v>55</v>
      </c>
    </row>
    <row r="229" spans="1:10" x14ac:dyDescent="0.2">
      <c r="A229" s="4" t="s">
        <v>726</v>
      </c>
      <c r="B229" t="s">
        <v>883</v>
      </c>
      <c r="C229" t="str">
        <f>LEFT(B229,FIND("_",B229)-1)</f>
        <v>microplastic</v>
      </c>
      <c r="D229" t="b">
        <f>IF(C229="CTRL",FALSE,TRUE)</f>
        <v>1</v>
      </c>
      <c r="E229" s="7" t="s">
        <v>889</v>
      </c>
      <c r="F229" t="s">
        <v>15</v>
      </c>
      <c r="G229" s="1" t="s">
        <v>435</v>
      </c>
      <c r="H229" s="1">
        <v>15</v>
      </c>
      <c r="I229" s="1" t="s">
        <v>77</v>
      </c>
      <c r="J229" s="6" t="s">
        <v>55</v>
      </c>
    </row>
    <row r="230" spans="1:10" x14ac:dyDescent="0.2">
      <c r="A230" s="4" t="s">
        <v>727</v>
      </c>
      <c r="B230" t="s">
        <v>888</v>
      </c>
      <c r="C230" t="str">
        <f>LEFT(B230,FIND("_",B230)-1)</f>
        <v>starch</v>
      </c>
      <c r="D230" t="b">
        <f>IF(C230="CTRL",FALSE,TRUE)</f>
        <v>1</v>
      </c>
      <c r="E230" s="7" t="s">
        <v>890</v>
      </c>
      <c r="F230" t="s">
        <v>892</v>
      </c>
      <c r="G230" s="1" t="s">
        <v>436</v>
      </c>
      <c r="H230" s="1">
        <v>15</v>
      </c>
      <c r="I230" s="1" t="s">
        <v>79</v>
      </c>
      <c r="J230" s="6" t="s">
        <v>55</v>
      </c>
    </row>
    <row r="231" spans="1:10" x14ac:dyDescent="0.2">
      <c r="A231" s="4" t="s">
        <v>728</v>
      </c>
      <c r="B231" t="s">
        <v>886</v>
      </c>
      <c r="C231" t="str">
        <f>LEFT(B231,FIND("_",B231)-1)</f>
        <v>macroplastic</v>
      </c>
      <c r="D231" t="b">
        <f>IF(C231="CTRL",FALSE,TRUE)</f>
        <v>1</v>
      </c>
      <c r="E231" s="7" t="s">
        <v>890</v>
      </c>
      <c r="F231" t="s">
        <v>892</v>
      </c>
      <c r="G231" s="1" t="s">
        <v>437</v>
      </c>
      <c r="H231" s="1">
        <v>15</v>
      </c>
      <c r="I231" s="1" t="s">
        <v>81</v>
      </c>
      <c r="J231" s="6" t="s">
        <v>55</v>
      </c>
    </row>
    <row r="232" spans="1:10" x14ac:dyDescent="0.2">
      <c r="A232" s="4" t="s">
        <v>729</v>
      </c>
      <c r="B232" t="s">
        <v>884</v>
      </c>
      <c r="C232" t="str">
        <f>LEFT(B232,FIND("_",B232)-1)</f>
        <v>microplastic</v>
      </c>
      <c r="D232" t="b">
        <f>IF(C232="CTRL",FALSE,TRUE)</f>
        <v>1</v>
      </c>
      <c r="E232" s="7" t="s">
        <v>890</v>
      </c>
      <c r="F232" t="s">
        <v>892</v>
      </c>
      <c r="G232" s="1" t="s">
        <v>438</v>
      </c>
      <c r="H232" s="1">
        <v>15</v>
      </c>
      <c r="I232" s="1" t="s">
        <v>83</v>
      </c>
      <c r="J232" s="6" t="s">
        <v>55</v>
      </c>
    </row>
    <row r="233" spans="1:10" x14ac:dyDescent="0.2">
      <c r="A233" s="4" t="s">
        <v>730</v>
      </c>
      <c r="B233" t="s">
        <v>888</v>
      </c>
      <c r="C233" t="str">
        <f>LEFT(B233,FIND("_",B233)-1)</f>
        <v>starch</v>
      </c>
      <c r="D233" t="b">
        <f>IF(C233="CTRL",FALSE,TRUE)</f>
        <v>1</v>
      </c>
      <c r="E233" s="7" t="s">
        <v>890</v>
      </c>
      <c r="F233" t="s">
        <v>15</v>
      </c>
      <c r="G233" s="1" t="s">
        <v>439</v>
      </c>
      <c r="H233" s="1">
        <v>15</v>
      </c>
      <c r="I233" s="1" t="s">
        <v>85</v>
      </c>
      <c r="J233" s="6" t="s">
        <v>55</v>
      </c>
    </row>
    <row r="234" spans="1:10" x14ac:dyDescent="0.2">
      <c r="A234" s="4" t="s">
        <v>731</v>
      </c>
      <c r="B234" t="s">
        <v>883</v>
      </c>
      <c r="C234" t="str">
        <f>LEFT(B234,FIND("_",B234)-1)</f>
        <v>microplastic</v>
      </c>
      <c r="D234" t="b">
        <f>IF(C234="CTRL",FALSE,TRUE)</f>
        <v>1</v>
      </c>
      <c r="E234" s="7" t="s">
        <v>889</v>
      </c>
      <c r="F234" t="s">
        <v>892</v>
      </c>
      <c r="G234" s="1" t="s">
        <v>440</v>
      </c>
      <c r="H234" s="1">
        <v>15</v>
      </c>
      <c r="I234" s="1" t="s">
        <v>87</v>
      </c>
      <c r="J234" s="6" t="s">
        <v>55</v>
      </c>
    </row>
    <row r="235" spans="1:10" x14ac:dyDescent="0.2">
      <c r="A235" s="4" t="s">
        <v>732</v>
      </c>
      <c r="B235" t="s">
        <v>880</v>
      </c>
      <c r="C235" t="str">
        <f>LEFT(B235,FIND("_",B235)-1)</f>
        <v>CTRL</v>
      </c>
      <c r="D235" t="b">
        <f>IF(C235="CTRL",FALSE,TRUE)</f>
        <v>0</v>
      </c>
      <c r="E235" s="7">
        <v>10</v>
      </c>
      <c r="F235" t="s">
        <v>21</v>
      </c>
      <c r="G235" s="1" t="s">
        <v>441</v>
      </c>
      <c r="H235" s="1">
        <v>15</v>
      </c>
      <c r="I235" s="1" t="s">
        <v>89</v>
      </c>
      <c r="J235" s="6" t="s">
        <v>55</v>
      </c>
    </row>
    <row r="236" spans="1:10" x14ac:dyDescent="0.2">
      <c r="A236" s="4" t="s">
        <v>733</v>
      </c>
      <c r="B236" t="s">
        <v>883</v>
      </c>
      <c r="C236" t="str">
        <f>LEFT(B236,FIND("_",B236)-1)</f>
        <v>microplastic</v>
      </c>
      <c r="D236" t="b">
        <f>IF(C236="CTRL",FALSE,TRUE)</f>
        <v>1</v>
      </c>
      <c r="E236" s="7" t="s">
        <v>889</v>
      </c>
      <c r="F236" t="s">
        <v>21</v>
      </c>
      <c r="G236" s="1" t="s">
        <v>442</v>
      </c>
      <c r="H236" s="1">
        <v>15</v>
      </c>
      <c r="I236" s="1" t="s">
        <v>91</v>
      </c>
      <c r="J236" s="6" t="s">
        <v>55</v>
      </c>
    </row>
    <row r="237" spans="1:10" x14ac:dyDescent="0.2">
      <c r="A237" s="4" t="s">
        <v>734</v>
      </c>
      <c r="B237" t="s">
        <v>887</v>
      </c>
      <c r="C237" t="str">
        <f>LEFT(B237,FIND("_",B237)-1)</f>
        <v>starch</v>
      </c>
      <c r="D237" t="b">
        <f>IF(C237="CTRL",FALSE,TRUE)</f>
        <v>1</v>
      </c>
      <c r="E237" s="7" t="s">
        <v>889</v>
      </c>
      <c r="F237" t="s">
        <v>893</v>
      </c>
      <c r="G237" s="1" t="s">
        <v>443</v>
      </c>
      <c r="H237" s="1">
        <v>15</v>
      </c>
      <c r="I237" s="1" t="s">
        <v>93</v>
      </c>
      <c r="J237" s="6" t="s">
        <v>55</v>
      </c>
    </row>
    <row r="238" spans="1:10" x14ac:dyDescent="0.2">
      <c r="A238" s="4" t="s">
        <v>735</v>
      </c>
      <c r="B238" t="s">
        <v>882</v>
      </c>
      <c r="C238" t="str">
        <f>LEFT(B238,FIND("_",B238)-1)</f>
        <v>CTRL</v>
      </c>
      <c r="D238" t="b">
        <f>IF(C238="CTRL",FALSE,TRUE)</f>
        <v>0</v>
      </c>
      <c r="E238" s="7">
        <v>10</v>
      </c>
      <c r="F238" t="s">
        <v>21</v>
      </c>
      <c r="G238" s="1" t="s">
        <v>444</v>
      </c>
      <c r="H238" s="1">
        <v>15</v>
      </c>
      <c r="I238" s="1" t="s">
        <v>95</v>
      </c>
      <c r="J238" s="6" t="s">
        <v>55</v>
      </c>
    </row>
    <row r="239" spans="1:10" x14ac:dyDescent="0.2">
      <c r="A239" s="4" t="s">
        <v>736</v>
      </c>
      <c r="B239" t="s">
        <v>883</v>
      </c>
      <c r="C239" t="str">
        <f>LEFT(B239,FIND("_",B239)-1)</f>
        <v>microplastic</v>
      </c>
      <c r="D239" t="b">
        <f>IF(C239="CTRL",FALSE,TRUE)</f>
        <v>1</v>
      </c>
      <c r="E239" s="7" t="s">
        <v>889</v>
      </c>
      <c r="F239" t="s">
        <v>21</v>
      </c>
      <c r="G239" s="1" t="s">
        <v>445</v>
      </c>
      <c r="H239" s="1">
        <v>15</v>
      </c>
      <c r="I239" s="1" t="s">
        <v>97</v>
      </c>
      <c r="J239" s="6" t="s">
        <v>55</v>
      </c>
    </row>
    <row r="240" spans="1:10" x14ac:dyDescent="0.2">
      <c r="A240" s="8" t="s">
        <v>737</v>
      </c>
      <c r="B240" s="11" t="s">
        <v>882</v>
      </c>
      <c r="C240" t="str">
        <f>LEFT(B240,FIND("_",B240)-1)</f>
        <v>CTRL</v>
      </c>
      <c r="D240" t="b">
        <f>IF(C240="CTRL",FALSE,TRUE)</f>
        <v>0</v>
      </c>
      <c r="E240" s="7">
        <v>10</v>
      </c>
      <c r="F240" t="s">
        <v>15</v>
      </c>
      <c r="G240" s="9" t="s">
        <v>446</v>
      </c>
      <c r="H240" s="9">
        <v>15</v>
      </c>
      <c r="I240" s="9" t="s">
        <v>99</v>
      </c>
      <c r="J240" s="12" t="s">
        <v>55</v>
      </c>
    </row>
    <row r="241" spans="1:10" x14ac:dyDescent="0.2">
      <c r="A241" s="4" t="s">
        <v>738</v>
      </c>
      <c r="B241" t="s">
        <v>883</v>
      </c>
      <c r="C241" t="str">
        <f>LEFT(B241,FIND("_",B241)-1)</f>
        <v>microplastic</v>
      </c>
      <c r="D241" t="b">
        <f>IF(C241="CTRL",FALSE,TRUE)</f>
        <v>1</v>
      </c>
      <c r="E241" s="7" t="s">
        <v>889</v>
      </c>
      <c r="F241" t="s">
        <v>892</v>
      </c>
      <c r="G241" s="1" t="s">
        <v>447</v>
      </c>
      <c r="H241" s="1">
        <v>15</v>
      </c>
      <c r="I241" s="1" t="s">
        <v>101</v>
      </c>
      <c r="J241" s="6" t="s">
        <v>55</v>
      </c>
    </row>
    <row r="242" spans="1:10" x14ac:dyDescent="0.2">
      <c r="A242" s="4" t="s">
        <v>739</v>
      </c>
      <c r="B242" t="s">
        <v>884</v>
      </c>
      <c r="C242" t="str">
        <f>LEFT(B242,FIND("_",B242)-1)</f>
        <v>microplastic</v>
      </c>
      <c r="D242" t="b">
        <f>IF(C242="CTRL",FALSE,TRUE)</f>
        <v>1</v>
      </c>
      <c r="E242" s="7" t="s">
        <v>890</v>
      </c>
      <c r="F242" t="s">
        <v>892</v>
      </c>
      <c r="G242" s="1" t="s">
        <v>448</v>
      </c>
      <c r="H242" s="1">
        <v>15</v>
      </c>
      <c r="I242" s="1" t="s">
        <v>103</v>
      </c>
      <c r="J242" s="6" t="s">
        <v>55</v>
      </c>
    </row>
    <row r="243" spans="1:10" x14ac:dyDescent="0.2">
      <c r="A243" s="4" t="s">
        <v>740</v>
      </c>
      <c r="B243" t="s">
        <v>884</v>
      </c>
      <c r="C243" t="str">
        <f>LEFT(B243,FIND("_",B243)-1)</f>
        <v>microplastic</v>
      </c>
      <c r="D243" t="b">
        <f>IF(C243="CTRL",FALSE,TRUE)</f>
        <v>1</v>
      </c>
      <c r="E243" s="7" t="s">
        <v>890</v>
      </c>
      <c r="F243" t="s">
        <v>21</v>
      </c>
      <c r="G243" s="1" t="s">
        <v>449</v>
      </c>
      <c r="H243" s="1">
        <v>15</v>
      </c>
      <c r="I243" s="1" t="s">
        <v>105</v>
      </c>
      <c r="J243" s="6" t="s">
        <v>55</v>
      </c>
    </row>
    <row r="244" spans="1:10" x14ac:dyDescent="0.2">
      <c r="A244" s="4" t="s">
        <v>741</v>
      </c>
      <c r="B244" t="s">
        <v>883</v>
      </c>
      <c r="C244" t="str">
        <f>LEFT(B244,FIND("_",B244)-1)</f>
        <v>microplastic</v>
      </c>
      <c r="D244" t="b">
        <f>IF(C244="CTRL",FALSE,TRUE)</f>
        <v>1</v>
      </c>
      <c r="E244" s="7" t="s">
        <v>889</v>
      </c>
      <c r="F244" t="s">
        <v>15</v>
      </c>
      <c r="G244" s="1" t="s">
        <v>450</v>
      </c>
      <c r="H244" s="1">
        <v>15</v>
      </c>
      <c r="I244" s="1" t="s">
        <v>107</v>
      </c>
      <c r="J244" s="6" t="s">
        <v>55</v>
      </c>
    </row>
    <row r="245" spans="1:10" x14ac:dyDescent="0.2">
      <c r="A245" s="4" t="s">
        <v>742</v>
      </c>
      <c r="B245" t="s">
        <v>885</v>
      </c>
      <c r="C245" t="str">
        <f>LEFT(B245,FIND("_",B245)-1)</f>
        <v>macroplastic</v>
      </c>
      <c r="D245" t="b">
        <f>IF(C245="CTRL",FALSE,TRUE)</f>
        <v>1</v>
      </c>
      <c r="E245" s="7" t="s">
        <v>889</v>
      </c>
      <c r="F245" t="s">
        <v>21</v>
      </c>
      <c r="G245" s="1" t="s">
        <v>451</v>
      </c>
      <c r="H245" s="1">
        <v>15</v>
      </c>
      <c r="I245" s="1" t="s">
        <v>109</v>
      </c>
      <c r="J245" s="6" t="s">
        <v>55</v>
      </c>
    </row>
    <row r="246" spans="1:10" x14ac:dyDescent="0.2">
      <c r="A246" s="4" t="s">
        <v>743</v>
      </c>
      <c r="B246" t="s">
        <v>884</v>
      </c>
      <c r="C246" t="str">
        <f>LEFT(B246,FIND("_",B246)-1)</f>
        <v>microplastic</v>
      </c>
      <c r="D246" t="b">
        <f>IF(C246="CTRL",FALSE,TRUE)</f>
        <v>1</v>
      </c>
      <c r="E246" s="7" t="s">
        <v>890</v>
      </c>
      <c r="F246" t="s">
        <v>21</v>
      </c>
      <c r="G246" s="1" t="s">
        <v>452</v>
      </c>
      <c r="H246" s="1">
        <v>15</v>
      </c>
      <c r="I246" s="1" t="s">
        <v>111</v>
      </c>
      <c r="J246" s="6" t="s">
        <v>55</v>
      </c>
    </row>
    <row r="247" spans="1:10" x14ac:dyDescent="0.2">
      <c r="A247" s="4" t="s">
        <v>744</v>
      </c>
      <c r="B247" t="s">
        <v>887</v>
      </c>
      <c r="C247" t="str">
        <f>LEFT(B247,FIND("_",B247)-1)</f>
        <v>starch</v>
      </c>
      <c r="D247" t="b">
        <f>IF(C247="CTRL",FALSE,TRUE)</f>
        <v>1</v>
      </c>
      <c r="E247" s="7" t="s">
        <v>889</v>
      </c>
      <c r="F247" t="s">
        <v>15</v>
      </c>
      <c r="G247" s="1" t="s">
        <v>453</v>
      </c>
      <c r="H247" s="1">
        <v>15</v>
      </c>
      <c r="I247" s="1" t="s">
        <v>113</v>
      </c>
      <c r="J247" s="6" t="s">
        <v>55</v>
      </c>
    </row>
    <row r="248" spans="1:10" x14ac:dyDescent="0.2">
      <c r="A248" s="4" t="s">
        <v>745</v>
      </c>
      <c r="B248" t="s">
        <v>887</v>
      </c>
      <c r="C248" t="str">
        <f>LEFT(B248,FIND("_",B248)-1)</f>
        <v>starch</v>
      </c>
      <c r="D248" t="b">
        <f>IF(C248="CTRL",FALSE,TRUE)</f>
        <v>1</v>
      </c>
      <c r="E248" s="7" t="s">
        <v>889</v>
      </c>
      <c r="F248" t="s">
        <v>21</v>
      </c>
      <c r="G248" s="1" t="s">
        <v>454</v>
      </c>
      <c r="H248" s="1">
        <v>15</v>
      </c>
      <c r="I248" s="1" t="s">
        <v>115</v>
      </c>
      <c r="J248" s="6" t="s">
        <v>55</v>
      </c>
    </row>
    <row r="249" spans="1:10" x14ac:dyDescent="0.2">
      <c r="A249" s="4" t="s">
        <v>746</v>
      </c>
      <c r="B249" t="s">
        <v>886</v>
      </c>
      <c r="C249" t="str">
        <f>LEFT(B249,FIND("_",B249)-1)</f>
        <v>macroplastic</v>
      </c>
      <c r="D249" t="b">
        <f>IF(C249="CTRL",FALSE,TRUE)</f>
        <v>1</v>
      </c>
      <c r="E249" s="7" t="s">
        <v>890</v>
      </c>
      <c r="F249" t="s">
        <v>21</v>
      </c>
      <c r="G249" s="1" t="s">
        <v>455</v>
      </c>
      <c r="H249" s="1">
        <v>15</v>
      </c>
      <c r="I249" s="1" t="s">
        <v>117</v>
      </c>
      <c r="J249" s="6" t="s">
        <v>55</v>
      </c>
    </row>
    <row r="250" spans="1:10" x14ac:dyDescent="0.2">
      <c r="A250" s="4" t="s">
        <v>747</v>
      </c>
      <c r="B250" t="s">
        <v>884</v>
      </c>
      <c r="C250" t="str">
        <f>LEFT(B250,FIND("_",B250)-1)</f>
        <v>microplastic</v>
      </c>
      <c r="D250" t="b">
        <f>IF(C250="CTRL",FALSE,TRUE)</f>
        <v>1</v>
      </c>
      <c r="E250" s="7" t="s">
        <v>890</v>
      </c>
      <c r="F250" t="s">
        <v>15</v>
      </c>
      <c r="G250" s="1" t="s">
        <v>456</v>
      </c>
      <c r="H250" s="1">
        <v>15</v>
      </c>
      <c r="I250" s="1" t="s">
        <v>119</v>
      </c>
      <c r="J250" s="6" t="s">
        <v>55</v>
      </c>
    </row>
    <row r="251" spans="1:10" x14ac:dyDescent="0.2">
      <c r="A251" s="4" t="s">
        <v>748</v>
      </c>
      <c r="B251" t="s">
        <v>886</v>
      </c>
      <c r="C251" t="str">
        <f>LEFT(B251,FIND("_",B251)-1)</f>
        <v>macroplastic</v>
      </c>
      <c r="D251" t="b">
        <f>IF(C251="CTRL",FALSE,TRUE)</f>
        <v>1</v>
      </c>
      <c r="E251" s="7" t="s">
        <v>890</v>
      </c>
      <c r="F251" t="s">
        <v>892</v>
      </c>
      <c r="G251" s="1" t="s">
        <v>457</v>
      </c>
      <c r="H251" s="1">
        <v>15</v>
      </c>
      <c r="I251" s="1" t="s">
        <v>121</v>
      </c>
      <c r="J251" s="6" t="s">
        <v>55</v>
      </c>
    </row>
    <row r="252" spans="1:10" x14ac:dyDescent="0.2">
      <c r="A252" s="4" t="s">
        <v>749</v>
      </c>
      <c r="B252" t="s">
        <v>10</v>
      </c>
      <c r="C252" t="str">
        <f>LEFT(B252,FIND("_",B252)-1)</f>
        <v>CTRL</v>
      </c>
      <c r="D252" t="b">
        <v>1</v>
      </c>
      <c r="E252" s="7">
        <v>0</v>
      </c>
      <c r="F252" t="s">
        <v>15</v>
      </c>
      <c r="G252" s="1" t="s">
        <v>458</v>
      </c>
      <c r="H252" s="1">
        <v>15</v>
      </c>
      <c r="I252" s="1" t="s">
        <v>123</v>
      </c>
      <c r="J252" s="6" t="s">
        <v>55</v>
      </c>
    </row>
    <row r="253" spans="1:10" x14ac:dyDescent="0.2">
      <c r="A253" s="4" t="s">
        <v>750</v>
      </c>
      <c r="B253" t="s">
        <v>888</v>
      </c>
      <c r="C253" t="str">
        <f>LEFT(B253,FIND("_",B253)-1)</f>
        <v>starch</v>
      </c>
      <c r="D253" t="b">
        <f>IF(C253="CTRL",FALSE,TRUE)</f>
        <v>1</v>
      </c>
      <c r="E253" s="7" t="s">
        <v>890</v>
      </c>
      <c r="F253" t="s">
        <v>893</v>
      </c>
      <c r="G253" s="1" t="s">
        <v>459</v>
      </c>
      <c r="H253" s="1">
        <v>15</v>
      </c>
      <c r="I253" s="1" t="s">
        <v>125</v>
      </c>
      <c r="J253" s="6" t="s">
        <v>55</v>
      </c>
    </row>
    <row r="254" spans="1:10" x14ac:dyDescent="0.2">
      <c r="A254" s="4" t="s">
        <v>751</v>
      </c>
      <c r="B254" t="s">
        <v>883</v>
      </c>
      <c r="C254" t="str">
        <f>LEFT(B254,FIND("_",B254)-1)</f>
        <v>microplastic</v>
      </c>
      <c r="D254" t="b">
        <f>IF(C254="CTRL",FALSE,TRUE)</f>
        <v>1</v>
      </c>
      <c r="E254" s="7" t="s">
        <v>889</v>
      </c>
      <c r="F254" t="s">
        <v>893</v>
      </c>
      <c r="G254" s="1" t="s">
        <v>460</v>
      </c>
      <c r="H254" s="1">
        <v>15</v>
      </c>
      <c r="I254" s="1" t="s">
        <v>127</v>
      </c>
      <c r="J254" s="6" t="s">
        <v>55</v>
      </c>
    </row>
    <row r="255" spans="1:10" x14ac:dyDescent="0.2">
      <c r="A255" s="4" t="s">
        <v>752</v>
      </c>
      <c r="B255" t="s">
        <v>881</v>
      </c>
      <c r="C255" t="str">
        <f>LEFT(B255,FIND("_",B255)-1)</f>
        <v>CTRL</v>
      </c>
      <c r="D255" t="b">
        <f>IF(C255="CTRL",FALSE,TRUE)</f>
        <v>0</v>
      </c>
      <c r="E255" s="7">
        <v>10</v>
      </c>
      <c r="F255" t="s">
        <v>15</v>
      </c>
      <c r="G255" s="1" t="s">
        <v>461</v>
      </c>
      <c r="H255" s="1">
        <v>15</v>
      </c>
      <c r="I255" s="1" t="s">
        <v>129</v>
      </c>
      <c r="J255" s="6" t="s">
        <v>55</v>
      </c>
    </row>
    <row r="256" spans="1:10" x14ac:dyDescent="0.2">
      <c r="A256" s="4" t="s">
        <v>753</v>
      </c>
      <c r="B256" t="s">
        <v>887</v>
      </c>
      <c r="C256" t="str">
        <f>LEFT(B256,FIND("_",B256)-1)</f>
        <v>starch</v>
      </c>
      <c r="D256" t="b">
        <f>IF(C256="CTRL",FALSE,TRUE)</f>
        <v>1</v>
      </c>
      <c r="E256" s="7" t="s">
        <v>889</v>
      </c>
      <c r="F256" t="s">
        <v>893</v>
      </c>
      <c r="G256" s="1" t="s">
        <v>462</v>
      </c>
      <c r="H256" s="1">
        <v>15</v>
      </c>
      <c r="I256" s="1" t="s">
        <v>131</v>
      </c>
      <c r="J256" s="6" t="s">
        <v>55</v>
      </c>
    </row>
    <row r="257" spans="1:10" x14ac:dyDescent="0.2">
      <c r="A257" s="4" t="s">
        <v>754</v>
      </c>
      <c r="B257" t="s">
        <v>10</v>
      </c>
      <c r="C257" t="str">
        <f>LEFT(B257,FIND("_",B257)-1)</f>
        <v>CTRL</v>
      </c>
      <c r="D257" t="b">
        <v>1</v>
      </c>
      <c r="E257" s="7">
        <v>0</v>
      </c>
      <c r="F257" t="s">
        <v>893</v>
      </c>
      <c r="G257" s="1" t="s">
        <v>463</v>
      </c>
      <c r="H257" s="1">
        <v>15</v>
      </c>
      <c r="I257" s="1" t="s">
        <v>133</v>
      </c>
      <c r="J257" s="6" t="s">
        <v>55</v>
      </c>
    </row>
    <row r="258" spans="1:10" x14ac:dyDescent="0.2">
      <c r="A258" s="4" t="s">
        <v>755</v>
      </c>
      <c r="B258" t="s">
        <v>888</v>
      </c>
      <c r="C258" t="str">
        <f>LEFT(B258,FIND("_",B258)-1)</f>
        <v>starch</v>
      </c>
      <c r="D258" t="b">
        <f>IF(C258="CTRL",FALSE,TRUE)</f>
        <v>1</v>
      </c>
      <c r="E258" s="7" t="s">
        <v>890</v>
      </c>
      <c r="F258" t="s">
        <v>892</v>
      </c>
      <c r="G258" s="1" t="s">
        <v>464</v>
      </c>
      <c r="H258" s="1">
        <v>15</v>
      </c>
      <c r="I258" s="1" t="s">
        <v>135</v>
      </c>
      <c r="J258" s="6" t="s">
        <v>55</v>
      </c>
    </row>
    <row r="259" spans="1:10" x14ac:dyDescent="0.2">
      <c r="A259" s="4" t="s">
        <v>756</v>
      </c>
      <c r="B259" t="s">
        <v>886</v>
      </c>
      <c r="C259" t="str">
        <f>LEFT(B259,FIND("_",B259)-1)</f>
        <v>macroplastic</v>
      </c>
      <c r="D259" t="b">
        <f>IF(C259="CTRL",FALSE,TRUE)</f>
        <v>1</v>
      </c>
      <c r="E259" s="7" t="s">
        <v>890</v>
      </c>
      <c r="F259" t="s">
        <v>21</v>
      </c>
      <c r="G259" s="1" t="s">
        <v>465</v>
      </c>
      <c r="H259" s="1">
        <v>15</v>
      </c>
      <c r="I259" s="1" t="s">
        <v>137</v>
      </c>
      <c r="J259" s="6" t="s">
        <v>55</v>
      </c>
    </row>
    <row r="260" spans="1:10" x14ac:dyDescent="0.2">
      <c r="A260" s="4" t="s">
        <v>757</v>
      </c>
      <c r="B260" t="s">
        <v>10</v>
      </c>
      <c r="C260" t="str">
        <f>LEFT(B260,FIND("_",B260)-1)</f>
        <v>CTRL</v>
      </c>
      <c r="D260" t="b">
        <v>1</v>
      </c>
      <c r="E260" s="7">
        <v>0</v>
      </c>
      <c r="F260" t="s">
        <v>15</v>
      </c>
      <c r="G260" s="1" t="s">
        <v>466</v>
      </c>
      <c r="H260" s="1">
        <v>15</v>
      </c>
      <c r="I260" s="1" t="s">
        <v>139</v>
      </c>
      <c r="J260" s="6" t="s">
        <v>55</v>
      </c>
    </row>
    <row r="261" spans="1:10" x14ac:dyDescent="0.2">
      <c r="A261" s="4" t="s">
        <v>758</v>
      </c>
      <c r="B261" t="s">
        <v>10</v>
      </c>
      <c r="C261" t="str">
        <f>LEFT(B261,FIND("_",B261)-1)</f>
        <v>CTRL</v>
      </c>
      <c r="D261" t="b">
        <v>1</v>
      </c>
      <c r="E261" s="7">
        <v>0</v>
      </c>
      <c r="F261" t="s">
        <v>892</v>
      </c>
      <c r="G261" s="1" t="s">
        <v>467</v>
      </c>
      <c r="H261" s="1">
        <v>15</v>
      </c>
      <c r="I261" s="1" t="s">
        <v>141</v>
      </c>
      <c r="J261" s="6" t="s">
        <v>55</v>
      </c>
    </row>
    <row r="262" spans="1:10" x14ac:dyDescent="0.2">
      <c r="A262" s="4" t="s">
        <v>759</v>
      </c>
      <c r="B262" t="s">
        <v>881</v>
      </c>
      <c r="C262" t="str">
        <f>LEFT(B262,FIND("_",B262)-1)</f>
        <v>CTRL</v>
      </c>
      <c r="D262" t="b">
        <f>IF(C262="CTRL",FALSE,TRUE)</f>
        <v>0</v>
      </c>
      <c r="E262" s="7">
        <v>10</v>
      </c>
      <c r="F262" t="s">
        <v>15</v>
      </c>
      <c r="G262" s="1" t="s">
        <v>468</v>
      </c>
      <c r="H262" s="1">
        <v>15</v>
      </c>
      <c r="I262" s="1" t="s">
        <v>143</v>
      </c>
      <c r="J262" s="6" t="s">
        <v>55</v>
      </c>
    </row>
    <row r="263" spans="1:10" x14ac:dyDescent="0.2">
      <c r="A263" s="4" t="s">
        <v>760</v>
      </c>
      <c r="B263" t="s">
        <v>884</v>
      </c>
      <c r="C263" t="str">
        <f>LEFT(B263,FIND("_",B263)-1)</f>
        <v>microplastic</v>
      </c>
      <c r="D263" t="b">
        <f>IF(C263="CTRL",FALSE,TRUE)</f>
        <v>1</v>
      </c>
      <c r="E263" s="7" t="s">
        <v>890</v>
      </c>
      <c r="F263" t="s">
        <v>15</v>
      </c>
      <c r="G263" s="1" t="s">
        <v>469</v>
      </c>
      <c r="H263" s="1">
        <v>15</v>
      </c>
      <c r="I263" s="1" t="s">
        <v>145</v>
      </c>
      <c r="J263" s="6" t="s">
        <v>55</v>
      </c>
    </row>
    <row r="264" spans="1:10" x14ac:dyDescent="0.2">
      <c r="A264" s="5" t="s">
        <v>891</v>
      </c>
      <c r="B264" s="3" t="s">
        <v>891</v>
      </c>
      <c r="C264" s="5" t="s">
        <v>891</v>
      </c>
      <c r="D264" s="5" t="s">
        <v>891</v>
      </c>
      <c r="E264" s="5" t="s">
        <v>891</v>
      </c>
      <c r="F264" s="5" t="s">
        <v>891</v>
      </c>
      <c r="G264" s="1" t="s">
        <v>470</v>
      </c>
      <c r="H264" s="2">
        <v>15</v>
      </c>
      <c r="I264" s="2" t="s">
        <v>147</v>
      </c>
      <c r="J264" s="6" t="s">
        <v>55</v>
      </c>
    </row>
    <row r="265" spans="1:10" x14ac:dyDescent="0.2">
      <c r="A265" s="4" t="s">
        <v>761</v>
      </c>
      <c r="B265" t="s">
        <v>888</v>
      </c>
      <c r="C265" t="str">
        <f>LEFT(B265,FIND("_",B265)-1)</f>
        <v>starch</v>
      </c>
      <c r="D265" t="b">
        <f>IF(C265="CTRL",FALSE,TRUE)</f>
        <v>1</v>
      </c>
      <c r="E265" s="7" t="s">
        <v>890</v>
      </c>
      <c r="F265" t="s">
        <v>21</v>
      </c>
      <c r="G265" s="1" t="s">
        <v>471</v>
      </c>
      <c r="H265" s="1">
        <v>15</v>
      </c>
      <c r="I265" s="1" t="s">
        <v>149</v>
      </c>
      <c r="J265" s="6" t="s">
        <v>55</v>
      </c>
    </row>
    <row r="266" spans="1:10" x14ac:dyDescent="0.2">
      <c r="A266" s="4" t="s">
        <v>762</v>
      </c>
      <c r="B266" t="s">
        <v>883</v>
      </c>
      <c r="C266" t="str">
        <f>LEFT(B266,FIND("_",B266)-1)</f>
        <v>microplastic</v>
      </c>
      <c r="D266" t="b">
        <f>IF(C266="CTRL",FALSE,TRUE)</f>
        <v>1</v>
      </c>
      <c r="E266" s="7" t="s">
        <v>889</v>
      </c>
      <c r="F266" t="s">
        <v>893</v>
      </c>
      <c r="G266" s="1" t="s">
        <v>472</v>
      </c>
      <c r="H266" s="1">
        <v>15</v>
      </c>
      <c r="I266" s="1" t="s">
        <v>151</v>
      </c>
      <c r="J266" s="6" t="s">
        <v>55</v>
      </c>
    </row>
    <row r="267" spans="1:10" x14ac:dyDescent="0.2">
      <c r="A267" s="4" t="s">
        <v>763</v>
      </c>
      <c r="B267" t="s">
        <v>887</v>
      </c>
      <c r="C267" t="str">
        <f>LEFT(B267,FIND("_",B267)-1)</f>
        <v>starch</v>
      </c>
      <c r="D267" t="b">
        <f>IF(C267="CTRL",FALSE,TRUE)</f>
        <v>1</v>
      </c>
      <c r="E267" s="7" t="s">
        <v>889</v>
      </c>
      <c r="F267" t="s">
        <v>15</v>
      </c>
      <c r="G267" s="1" t="s">
        <v>473</v>
      </c>
      <c r="H267" s="1">
        <v>15</v>
      </c>
      <c r="I267" s="1" t="s">
        <v>153</v>
      </c>
      <c r="J267" s="6" t="s">
        <v>55</v>
      </c>
    </row>
    <row r="268" spans="1:10" x14ac:dyDescent="0.2">
      <c r="A268" s="4" t="s">
        <v>764</v>
      </c>
      <c r="B268" t="s">
        <v>885</v>
      </c>
      <c r="C268" t="str">
        <f>LEFT(B268,FIND("_",B268)-1)</f>
        <v>macroplastic</v>
      </c>
      <c r="D268" t="b">
        <f>IF(C268="CTRL",FALSE,TRUE)</f>
        <v>1</v>
      </c>
      <c r="E268" s="7" t="s">
        <v>889</v>
      </c>
      <c r="F268" t="s">
        <v>893</v>
      </c>
      <c r="G268" s="1" t="s">
        <v>474</v>
      </c>
      <c r="H268" s="1">
        <v>15</v>
      </c>
      <c r="I268" s="1" t="s">
        <v>155</v>
      </c>
      <c r="J268" s="6" t="s">
        <v>55</v>
      </c>
    </row>
    <row r="269" spans="1:10" x14ac:dyDescent="0.2">
      <c r="A269" s="4" t="s">
        <v>765</v>
      </c>
      <c r="B269" t="s">
        <v>888</v>
      </c>
      <c r="C269" t="str">
        <f>LEFT(B269,FIND("_",B269)-1)</f>
        <v>starch</v>
      </c>
      <c r="D269" t="b">
        <f>IF(C269="CTRL",FALSE,TRUE)</f>
        <v>1</v>
      </c>
      <c r="E269" s="7" t="s">
        <v>890</v>
      </c>
      <c r="F269" t="s">
        <v>15</v>
      </c>
      <c r="G269" s="1" t="s">
        <v>475</v>
      </c>
      <c r="H269" s="1">
        <v>15</v>
      </c>
      <c r="I269" s="1" t="s">
        <v>157</v>
      </c>
      <c r="J269" s="6" t="s">
        <v>55</v>
      </c>
    </row>
    <row r="270" spans="1:10" x14ac:dyDescent="0.2">
      <c r="A270" s="4" t="s">
        <v>766</v>
      </c>
      <c r="B270" t="s">
        <v>885</v>
      </c>
      <c r="C270" t="str">
        <f>LEFT(B270,FIND("_",B270)-1)</f>
        <v>macroplastic</v>
      </c>
      <c r="D270" t="b">
        <f>IF(C270="CTRL",FALSE,TRUE)</f>
        <v>1</v>
      </c>
      <c r="E270" s="7" t="s">
        <v>889</v>
      </c>
      <c r="F270" t="s">
        <v>21</v>
      </c>
      <c r="G270" s="1" t="s">
        <v>476</v>
      </c>
      <c r="H270" s="1">
        <v>15</v>
      </c>
      <c r="I270" s="1" t="s">
        <v>159</v>
      </c>
      <c r="J270" s="6" t="s">
        <v>55</v>
      </c>
    </row>
    <row r="271" spans="1:10" x14ac:dyDescent="0.2">
      <c r="A271" s="4" t="s">
        <v>767</v>
      </c>
      <c r="B271" t="s">
        <v>10</v>
      </c>
      <c r="C271" t="str">
        <f>LEFT(B271,FIND("_",B271)-1)</f>
        <v>CTRL</v>
      </c>
      <c r="D271" t="b">
        <v>1</v>
      </c>
      <c r="E271" s="7">
        <v>0</v>
      </c>
      <c r="F271" t="s">
        <v>21</v>
      </c>
      <c r="G271" s="1" t="s">
        <v>477</v>
      </c>
      <c r="H271" s="1">
        <v>15</v>
      </c>
      <c r="I271" s="1" t="s">
        <v>161</v>
      </c>
      <c r="J271" s="6" t="s">
        <v>55</v>
      </c>
    </row>
    <row r="272" spans="1:10" x14ac:dyDescent="0.2">
      <c r="A272" s="4" t="s">
        <v>768</v>
      </c>
      <c r="B272" t="s">
        <v>10</v>
      </c>
      <c r="C272" t="str">
        <f>LEFT(B272,FIND("_",B272)-1)</f>
        <v>CTRL</v>
      </c>
      <c r="D272" t="b">
        <v>1</v>
      </c>
      <c r="E272" s="7">
        <v>0</v>
      </c>
      <c r="F272" t="s">
        <v>893</v>
      </c>
      <c r="G272" s="1" t="s">
        <v>478</v>
      </c>
      <c r="H272" s="1">
        <v>15</v>
      </c>
      <c r="I272" s="1" t="s">
        <v>163</v>
      </c>
      <c r="J272" s="6" t="s">
        <v>55</v>
      </c>
    </row>
    <row r="273" spans="1:10" x14ac:dyDescent="0.2">
      <c r="A273" s="4" t="s">
        <v>769</v>
      </c>
      <c r="B273" t="s">
        <v>888</v>
      </c>
      <c r="C273" t="str">
        <f>LEFT(B273,FIND("_",B273)-1)</f>
        <v>starch</v>
      </c>
      <c r="D273" t="b">
        <f>IF(C273="CTRL",FALSE,TRUE)</f>
        <v>1</v>
      </c>
      <c r="E273" s="7" t="s">
        <v>890</v>
      </c>
      <c r="F273" t="s">
        <v>892</v>
      </c>
      <c r="G273" s="1" t="s">
        <v>479</v>
      </c>
      <c r="H273" s="1">
        <v>15</v>
      </c>
      <c r="I273" s="1" t="s">
        <v>165</v>
      </c>
      <c r="J273" s="6" t="s">
        <v>55</v>
      </c>
    </row>
    <row r="274" spans="1:10" x14ac:dyDescent="0.2">
      <c r="A274" s="4" t="s">
        <v>770</v>
      </c>
      <c r="B274" t="s">
        <v>886</v>
      </c>
      <c r="C274" t="str">
        <f>LEFT(B274,FIND("_",B274)-1)</f>
        <v>macroplastic</v>
      </c>
      <c r="D274" t="b">
        <f>IF(C274="CTRL",FALSE,TRUE)</f>
        <v>1</v>
      </c>
      <c r="E274" s="7" t="s">
        <v>890</v>
      </c>
      <c r="F274" t="s">
        <v>892</v>
      </c>
      <c r="G274" s="1" t="s">
        <v>480</v>
      </c>
      <c r="H274" s="1">
        <v>15</v>
      </c>
      <c r="I274" s="1" t="s">
        <v>167</v>
      </c>
      <c r="J274" s="6" t="s">
        <v>55</v>
      </c>
    </row>
    <row r="275" spans="1:10" x14ac:dyDescent="0.2">
      <c r="A275" s="4" t="s">
        <v>771</v>
      </c>
      <c r="B275" t="s">
        <v>880</v>
      </c>
      <c r="C275" t="str">
        <f>LEFT(B275,FIND("_",B275)-1)</f>
        <v>CTRL</v>
      </c>
      <c r="D275" t="b">
        <f>IF(C275="CTRL",FALSE,TRUE)</f>
        <v>0</v>
      </c>
      <c r="E275" s="7">
        <v>10</v>
      </c>
      <c r="F275" t="s">
        <v>15</v>
      </c>
      <c r="G275" s="1" t="s">
        <v>481</v>
      </c>
      <c r="H275" s="1">
        <v>15</v>
      </c>
      <c r="I275" s="1" t="s">
        <v>169</v>
      </c>
      <c r="J275" s="6" t="s">
        <v>55</v>
      </c>
    </row>
    <row r="276" spans="1:10" x14ac:dyDescent="0.2">
      <c r="A276" s="4" t="s">
        <v>772</v>
      </c>
      <c r="B276" t="s">
        <v>883</v>
      </c>
      <c r="C276" t="str">
        <f>LEFT(B276,FIND("_",B276)-1)</f>
        <v>microplastic</v>
      </c>
      <c r="D276" t="b">
        <f>IF(C276="CTRL",FALSE,TRUE)</f>
        <v>1</v>
      </c>
      <c r="E276" s="7" t="s">
        <v>889</v>
      </c>
      <c r="F276" t="s">
        <v>21</v>
      </c>
      <c r="G276" s="1" t="s">
        <v>482</v>
      </c>
      <c r="H276" s="1">
        <v>15</v>
      </c>
      <c r="I276" s="1" t="s">
        <v>171</v>
      </c>
      <c r="J276" s="6" t="s">
        <v>55</v>
      </c>
    </row>
    <row r="277" spans="1:10" x14ac:dyDescent="0.2">
      <c r="A277" s="4" t="s">
        <v>773</v>
      </c>
      <c r="B277" t="s">
        <v>881</v>
      </c>
      <c r="C277" t="str">
        <f>LEFT(B277,FIND("_",B277)-1)</f>
        <v>CTRL</v>
      </c>
      <c r="D277" t="b">
        <f>IF(C277="CTRL",FALSE,TRUE)</f>
        <v>0</v>
      </c>
      <c r="E277" s="7">
        <v>10</v>
      </c>
      <c r="F277" t="s">
        <v>21</v>
      </c>
      <c r="G277" s="1" t="s">
        <v>483</v>
      </c>
      <c r="H277" s="1">
        <v>15</v>
      </c>
      <c r="I277" s="1" t="s">
        <v>173</v>
      </c>
      <c r="J277" s="6" t="s">
        <v>55</v>
      </c>
    </row>
    <row r="278" spans="1:10" x14ac:dyDescent="0.2">
      <c r="A278" s="4" t="s">
        <v>774</v>
      </c>
      <c r="B278" t="s">
        <v>883</v>
      </c>
      <c r="C278" t="str">
        <f>LEFT(B278,FIND("_",B278)-1)</f>
        <v>microplastic</v>
      </c>
      <c r="D278" t="b">
        <f>IF(C278="CTRL",FALSE,TRUE)</f>
        <v>1</v>
      </c>
      <c r="E278" s="7" t="s">
        <v>889</v>
      </c>
      <c r="F278" t="s">
        <v>893</v>
      </c>
      <c r="G278" s="1" t="s">
        <v>484</v>
      </c>
      <c r="H278" s="1">
        <v>15</v>
      </c>
      <c r="I278" s="1" t="s">
        <v>175</v>
      </c>
      <c r="J278" s="6" t="s">
        <v>55</v>
      </c>
    </row>
    <row r="279" spans="1:10" x14ac:dyDescent="0.2">
      <c r="A279" s="4" t="s">
        <v>775</v>
      </c>
      <c r="B279" t="s">
        <v>884</v>
      </c>
      <c r="C279" t="str">
        <f>LEFT(B279,FIND("_",B279)-1)</f>
        <v>microplastic</v>
      </c>
      <c r="D279" t="b">
        <f>IF(C279="CTRL",FALSE,TRUE)</f>
        <v>1</v>
      </c>
      <c r="E279" s="7" t="s">
        <v>890</v>
      </c>
      <c r="F279" t="s">
        <v>21</v>
      </c>
      <c r="G279" s="1" t="s">
        <v>485</v>
      </c>
      <c r="H279" s="1">
        <v>15</v>
      </c>
      <c r="I279" s="1" t="s">
        <v>177</v>
      </c>
      <c r="J279" s="6" t="s">
        <v>55</v>
      </c>
    </row>
    <row r="280" spans="1:10" x14ac:dyDescent="0.2">
      <c r="A280" s="4" t="s">
        <v>776</v>
      </c>
      <c r="B280" t="s">
        <v>888</v>
      </c>
      <c r="C280" t="str">
        <f>LEFT(B280,FIND("_",B280)-1)</f>
        <v>starch</v>
      </c>
      <c r="D280" t="b">
        <f>IF(C280="CTRL",FALSE,TRUE)</f>
        <v>1</v>
      </c>
      <c r="E280" s="7" t="s">
        <v>890</v>
      </c>
      <c r="F280" t="s">
        <v>21</v>
      </c>
      <c r="G280" s="1" t="s">
        <v>486</v>
      </c>
      <c r="H280" s="1">
        <v>15</v>
      </c>
      <c r="I280" s="1" t="s">
        <v>179</v>
      </c>
      <c r="J280" s="6" t="s">
        <v>55</v>
      </c>
    </row>
    <row r="281" spans="1:10" x14ac:dyDescent="0.2">
      <c r="A281" s="4" t="s">
        <v>777</v>
      </c>
      <c r="B281" t="s">
        <v>888</v>
      </c>
      <c r="C281" t="str">
        <f>LEFT(B281,FIND("_",B281)-1)</f>
        <v>starch</v>
      </c>
      <c r="D281" t="b">
        <f>IF(C281="CTRL",FALSE,TRUE)</f>
        <v>1</v>
      </c>
      <c r="E281" s="7" t="s">
        <v>890</v>
      </c>
      <c r="F281" t="s">
        <v>15</v>
      </c>
      <c r="G281" s="1" t="s">
        <v>487</v>
      </c>
      <c r="H281" s="1">
        <v>15</v>
      </c>
      <c r="I281" s="1" t="s">
        <v>181</v>
      </c>
      <c r="J281" s="6" t="s">
        <v>55</v>
      </c>
    </row>
    <row r="282" spans="1:10" x14ac:dyDescent="0.2">
      <c r="A282" s="4" t="s">
        <v>778</v>
      </c>
      <c r="B282" t="s">
        <v>888</v>
      </c>
      <c r="C282" t="str">
        <f>LEFT(B282,FIND("_",B282)-1)</f>
        <v>starch</v>
      </c>
      <c r="D282" t="b">
        <f>IF(C282="CTRL",FALSE,TRUE)</f>
        <v>1</v>
      </c>
      <c r="E282" s="7" t="s">
        <v>890</v>
      </c>
      <c r="F282" t="s">
        <v>21</v>
      </c>
      <c r="G282" s="1" t="s">
        <v>489</v>
      </c>
      <c r="H282" s="1">
        <v>15</v>
      </c>
      <c r="I282" s="1" t="s">
        <v>183</v>
      </c>
      <c r="J282" s="6" t="s">
        <v>55</v>
      </c>
    </row>
    <row r="283" spans="1:10" x14ac:dyDescent="0.2">
      <c r="A283" s="4" t="s">
        <v>779</v>
      </c>
      <c r="B283" t="s">
        <v>881</v>
      </c>
      <c r="C283" t="str">
        <f>LEFT(B283,FIND("_",B283)-1)</f>
        <v>CTRL</v>
      </c>
      <c r="D283" t="b">
        <f>IF(C283="CTRL",FALSE,TRUE)</f>
        <v>0</v>
      </c>
      <c r="E283" s="7">
        <v>10</v>
      </c>
      <c r="F283" t="s">
        <v>21</v>
      </c>
      <c r="G283" s="1" t="s">
        <v>491</v>
      </c>
      <c r="H283" s="1">
        <v>15</v>
      </c>
      <c r="I283" s="1" t="s">
        <v>185</v>
      </c>
      <c r="J283" s="6" t="s">
        <v>55</v>
      </c>
    </row>
    <row r="284" spans="1:10" x14ac:dyDescent="0.2">
      <c r="A284" s="4" t="s">
        <v>780</v>
      </c>
      <c r="B284" t="s">
        <v>20</v>
      </c>
      <c r="C284" t="str">
        <f>LEFT(B284,FIND("_",B284)-1)</f>
        <v>CTRL</v>
      </c>
      <c r="D284" t="b">
        <f>IF(C284="CTRL",FALSE,TRUE)</f>
        <v>0</v>
      </c>
      <c r="E284" s="7">
        <v>0</v>
      </c>
      <c r="F284" t="s">
        <v>15</v>
      </c>
      <c r="G284" s="1" t="s">
        <v>492</v>
      </c>
      <c r="H284" s="1">
        <v>15</v>
      </c>
      <c r="I284" s="1" t="s">
        <v>187</v>
      </c>
      <c r="J284" s="6" t="s">
        <v>55</v>
      </c>
    </row>
    <row r="285" spans="1:10" x14ac:dyDescent="0.2">
      <c r="A285" s="4" t="s">
        <v>781</v>
      </c>
      <c r="B285" t="s">
        <v>886</v>
      </c>
      <c r="C285" t="str">
        <f>LEFT(B285,FIND("_",B285)-1)</f>
        <v>macroplastic</v>
      </c>
      <c r="D285" t="b">
        <f>IF(C285="CTRL",FALSE,TRUE)</f>
        <v>1</v>
      </c>
      <c r="E285" s="7" t="s">
        <v>890</v>
      </c>
      <c r="F285" t="s">
        <v>15</v>
      </c>
      <c r="G285" s="1" t="s">
        <v>493</v>
      </c>
      <c r="H285" s="1">
        <v>15</v>
      </c>
      <c r="I285" s="1" t="s">
        <v>189</v>
      </c>
      <c r="J285" s="6" t="s">
        <v>55</v>
      </c>
    </row>
    <row r="286" spans="1:10" x14ac:dyDescent="0.2">
      <c r="A286" s="4" t="s">
        <v>782</v>
      </c>
      <c r="B286" t="s">
        <v>885</v>
      </c>
      <c r="C286" t="str">
        <f>LEFT(B286,FIND("_",B286)-1)</f>
        <v>macroplastic</v>
      </c>
      <c r="D286" t="b">
        <f>IF(C286="CTRL",FALSE,TRUE)</f>
        <v>1</v>
      </c>
      <c r="E286" s="7" t="s">
        <v>889</v>
      </c>
      <c r="F286" t="s">
        <v>15</v>
      </c>
      <c r="G286" s="1" t="s">
        <v>494</v>
      </c>
      <c r="H286" s="1">
        <v>15</v>
      </c>
      <c r="I286" s="1" t="s">
        <v>191</v>
      </c>
      <c r="J286" s="6" t="s">
        <v>55</v>
      </c>
    </row>
    <row r="287" spans="1:10" x14ac:dyDescent="0.2">
      <c r="A287" s="4" t="s">
        <v>783</v>
      </c>
      <c r="B287" t="s">
        <v>887</v>
      </c>
      <c r="C287" t="str">
        <f>LEFT(B287,FIND("_",B287)-1)</f>
        <v>starch</v>
      </c>
      <c r="D287" t="b">
        <f>IF(C287="CTRL",FALSE,TRUE)</f>
        <v>1</v>
      </c>
      <c r="E287" s="7" t="s">
        <v>889</v>
      </c>
      <c r="F287" t="s">
        <v>15</v>
      </c>
      <c r="G287" s="1" t="s">
        <v>495</v>
      </c>
      <c r="H287" s="1">
        <v>15</v>
      </c>
      <c r="I287" s="1" t="s">
        <v>193</v>
      </c>
      <c r="J287" s="6" t="s">
        <v>55</v>
      </c>
    </row>
    <row r="288" spans="1:10" x14ac:dyDescent="0.2">
      <c r="A288" s="4" t="s">
        <v>784</v>
      </c>
      <c r="B288" t="s">
        <v>885</v>
      </c>
      <c r="C288" t="str">
        <f>LEFT(B288,FIND("_",B288)-1)</f>
        <v>macroplastic</v>
      </c>
      <c r="D288" t="b">
        <f>IF(C288="CTRL",FALSE,TRUE)</f>
        <v>1</v>
      </c>
      <c r="E288" s="7" t="s">
        <v>889</v>
      </c>
      <c r="F288" t="s">
        <v>21</v>
      </c>
      <c r="G288" s="1" t="s">
        <v>496</v>
      </c>
      <c r="H288" s="1">
        <v>15</v>
      </c>
      <c r="I288" s="1" t="s">
        <v>195</v>
      </c>
      <c r="J288" s="6" t="s">
        <v>55</v>
      </c>
    </row>
    <row r="289" spans="1:10" ht="17" thickBot="1" x14ac:dyDescent="0.25">
      <c r="A289" s="13" t="s">
        <v>397</v>
      </c>
      <c r="B289" s="10" t="s">
        <v>878</v>
      </c>
      <c r="C289" s="10" t="s">
        <v>371</v>
      </c>
      <c r="D289" s="10" t="s">
        <v>371</v>
      </c>
      <c r="E289" s="14" t="s">
        <v>371</v>
      </c>
      <c r="F289" s="14" t="s">
        <v>371</v>
      </c>
      <c r="G289" s="15" t="s">
        <v>497</v>
      </c>
      <c r="H289" s="15">
        <v>15</v>
      </c>
      <c r="I289" s="15" t="s">
        <v>198</v>
      </c>
      <c r="J289" s="16" t="s">
        <v>55</v>
      </c>
    </row>
    <row r="290" spans="1:10" x14ac:dyDescent="0.2">
      <c r="A290" s="4" t="s">
        <v>399</v>
      </c>
      <c r="B290" t="s">
        <v>878</v>
      </c>
      <c r="C290" t="s">
        <v>371</v>
      </c>
      <c r="D290" t="s">
        <v>371</v>
      </c>
      <c r="E290" s="7" t="s">
        <v>371</v>
      </c>
      <c r="F290" s="7" t="s">
        <v>371</v>
      </c>
      <c r="G290" s="1" t="s">
        <v>202</v>
      </c>
      <c r="H290" s="1">
        <v>16</v>
      </c>
      <c r="I290" s="1" t="s">
        <v>2</v>
      </c>
      <c r="J290" s="6" t="s">
        <v>23</v>
      </c>
    </row>
    <row r="291" spans="1:10" x14ac:dyDescent="0.2">
      <c r="A291" s="4" t="s">
        <v>785</v>
      </c>
      <c r="B291" t="s">
        <v>883</v>
      </c>
      <c r="C291" t="str">
        <f>LEFT(B291,FIND("_",B291)-1)</f>
        <v>microplastic</v>
      </c>
      <c r="D291" t="b">
        <f>IF(C291="CTRL",FALSE,TRUE)</f>
        <v>1</v>
      </c>
      <c r="E291" s="7" t="s">
        <v>889</v>
      </c>
      <c r="F291" t="s">
        <v>892</v>
      </c>
      <c r="G291" s="1" t="s">
        <v>203</v>
      </c>
      <c r="H291" s="1">
        <v>16</v>
      </c>
      <c r="I291" s="1" t="s">
        <v>5</v>
      </c>
      <c r="J291" s="6" t="s">
        <v>23</v>
      </c>
    </row>
    <row r="292" spans="1:10" x14ac:dyDescent="0.2">
      <c r="A292" s="4" t="s">
        <v>786</v>
      </c>
      <c r="B292" t="s">
        <v>884</v>
      </c>
      <c r="C292" t="str">
        <f>LEFT(B292,FIND("_",B292)-1)</f>
        <v>microplastic</v>
      </c>
      <c r="D292" t="b">
        <f>IF(C292="CTRL",FALSE,TRUE)</f>
        <v>1</v>
      </c>
      <c r="E292" s="7" t="s">
        <v>890</v>
      </c>
      <c r="F292" t="s">
        <v>892</v>
      </c>
      <c r="G292" s="1" t="s">
        <v>204</v>
      </c>
      <c r="H292" s="1">
        <v>16</v>
      </c>
      <c r="I292" s="1" t="s">
        <v>7</v>
      </c>
      <c r="J292" s="6" t="s">
        <v>23</v>
      </c>
    </row>
    <row r="293" spans="1:10" x14ac:dyDescent="0.2">
      <c r="A293" s="4" t="s">
        <v>787</v>
      </c>
      <c r="B293" t="s">
        <v>10</v>
      </c>
      <c r="C293" t="str">
        <f>LEFT(B293,FIND("_",B293)-1)</f>
        <v>CTRL</v>
      </c>
      <c r="D293" t="b">
        <v>1</v>
      </c>
      <c r="E293" s="7">
        <v>0</v>
      </c>
      <c r="F293" t="s">
        <v>892</v>
      </c>
      <c r="G293" s="1" t="s">
        <v>205</v>
      </c>
      <c r="H293" s="1">
        <v>16</v>
      </c>
      <c r="I293" s="1" t="s">
        <v>9</v>
      </c>
      <c r="J293" s="6" t="s">
        <v>23</v>
      </c>
    </row>
    <row r="294" spans="1:10" x14ac:dyDescent="0.2">
      <c r="A294" s="4" t="s">
        <v>788</v>
      </c>
      <c r="B294" t="s">
        <v>884</v>
      </c>
      <c r="C294" t="str">
        <f>LEFT(B294,FIND("_",B294)-1)</f>
        <v>microplastic</v>
      </c>
      <c r="D294" t="b">
        <f>IF(C294="CTRL",FALSE,TRUE)</f>
        <v>1</v>
      </c>
      <c r="E294" s="7" t="s">
        <v>890</v>
      </c>
      <c r="F294" t="s">
        <v>893</v>
      </c>
      <c r="G294" s="1" t="s">
        <v>206</v>
      </c>
      <c r="H294" s="1">
        <v>16</v>
      </c>
      <c r="I294" s="1" t="s">
        <v>12</v>
      </c>
      <c r="J294" s="6" t="s">
        <v>23</v>
      </c>
    </row>
    <row r="295" spans="1:10" x14ac:dyDescent="0.2">
      <c r="A295" s="4" t="s">
        <v>789</v>
      </c>
      <c r="B295" t="s">
        <v>886</v>
      </c>
      <c r="C295" t="str">
        <f>LEFT(B295,FIND("_",B295)-1)</f>
        <v>macroplastic</v>
      </c>
      <c r="D295" t="b">
        <f>IF(C295="CTRL",FALSE,TRUE)</f>
        <v>1</v>
      </c>
      <c r="E295" s="7" t="s">
        <v>890</v>
      </c>
      <c r="F295" t="s">
        <v>15</v>
      </c>
      <c r="G295" s="1" t="s">
        <v>207</v>
      </c>
      <c r="H295" s="1">
        <v>16</v>
      </c>
      <c r="I295" s="1" t="s">
        <v>14</v>
      </c>
      <c r="J295" s="6" t="s">
        <v>23</v>
      </c>
    </row>
    <row r="296" spans="1:10" x14ac:dyDescent="0.2">
      <c r="A296" s="4" t="s">
        <v>790</v>
      </c>
      <c r="B296" t="s">
        <v>886</v>
      </c>
      <c r="C296" t="str">
        <f>LEFT(B296,FIND("_",B296)-1)</f>
        <v>macroplastic</v>
      </c>
      <c r="D296" t="b">
        <f>IF(C296="CTRL",FALSE,TRUE)</f>
        <v>1</v>
      </c>
      <c r="E296" s="7" t="s">
        <v>890</v>
      </c>
      <c r="F296" t="s">
        <v>15</v>
      </c>
      <c r="G296" s="1" t="s">
        <v>208</v>
      </c>
      <c r="H296" s="1">
        <v>16</v>
      </c>
      <c r="I296" s="1" t="s">
        <v>17</v>
      </c>
      <c r="J296" s="6" t="s">
        <v>23</v>
      </c>
    </row>
    <row r="297" spans="1:10" x14ac:dyDescent="0.2">
      <c r="A297" s="4" t="s">
        <v>791</v>
      </c>
      <c r="B297" t="s">
        <v>20</v>
      </c>
      <c r="C297" t="str">
        <f>LEFT(B297,FIND("_",B297)-1)</f>
        <v>CTRL</v>
      </c>
      <c r="D297" t="b">
        <f>IF(C297="CTRL",FALSE,TRUE)</f>
        <v>0</v>
      </c>
      <c r="E297" s="7">
        <v>0</v>
      </c>
      <c r="F297" t="s">
        <v>21</v>
      </c>
      <c r="G297" s="1" t="s">
        <v>209</v>
      </c>
      <c r="H297" s="1">
        <v>16</v>
      </c>
      <c r="I297" s="1" t="s">
        <v>19</v>
      </c>
      <c r="J297" s="6" t="s">
        <v>23</v>
      </c>
    </row>
    <row r="298" spans="1:10" x14ac:dyDescent="0.2">
      <c r="A298" s="4" t="s">
        <v>792</v>
      </c>
      <c r="B298" t="s">
        <v>886</v>
      </c>
      <c r="C298" t="str">
        <f>LEFT(B298,FIND("_",B298)-1)</f>
        <v>macroplastic</v>
      </c>
      <c r="D298" t="b">
        <f>IF(C298="CTRL",FALSE,TRUE)</f>
        <v>1</v>
      </c>
      <c r="E298" s="7" t="s">
        <v>890</v>
      </c>
      <c r="F298" t="s">
        <v>893</v>
      </c>
      <c r="G298" s="1" t="s">
        <v>210</v>
      </c>
      <c r="H298" s="1">
        <v>16</v>
      </c>
      <c r="I298" s="1" t="s">
        <v>23</v>
      </c>
      <c r="J298" s="6" t="s">
        <v>23</v>
      </c>
    </row>
    <row r="299" spans="1:10" x14ac:dyDescent="0.2">
      <c r="A299" s="4" t="s">
        <v>793</v>
      </c>
      <c r="B299" t="s">
        <v>888</v>
      </c>
      <c r="C299" t="str">
        <f>LEFT(B299,FIND("_",B299)-1)</f>
        <v>starch</v>
      </c>
      <c r="D299" t="b">
        <f>IF(C299="CTRL",FALSE,TRUE)</f>
        <v>1</v>
      </c>
      <c r="E299" s="7" t="s">
        <v>890</v>
      </c>
      <c r="F299" t="s">
        <v>21</v>
      </c>
      <c r="G299" s="1" t="s">
        <v>211</v>
      </c>
      <c r="H299" s="1">
        <v>16</v>
      </c>
      <c r="I299" s="1" t="s">
        <v>25</v>
      </c>
      <c r="J299" s="6" t="s">
        <v>23</v>
      </c>
    </row>
    <row r="300" spans="1:10" x14ac:dyDescent="0.2">
      <c r="A300" s="4" t="s">
        <v>794</v>
      </c>
      <c r="B300" t="s">
        <v>888</v>
      </c>
      <c r="C300" t="str">
        <f>LEFT(B300,FIND("_",B300)-1)</f>
        <v>starch</v>
      </c>
      <c r="D300" t="b">
        <f>IF(C300="CTRL",FALSE,TRUE)</f>
        <v>1</v>
      </c>
      <c r="E300" s="7" t="s">
        <v>890</v>
      </c>
      <c r="F300" t="s">
        <v>893</v>
      </c>
      <c r="G300" s="1" t="s">
        <v>212</v>
      </c>
      <c r="H300" s="1">
        <v>16</v>
      </c>
      <c r="I300" s="1" t="s">
        <v>27</v>
      </c>
      <c r="J300" s="6" t="s">
        <v>23</v>
      </c>
    </row>
    <row r="301" spans="1:10" x14ac:dyDescent="0.2">
      <c r="A301" s="4" t="s">
        <v>795</v>
      </c>
      <c r="B301" t="s">
        <v>885</v>
      </c>
      <c r="C301" t="str">
        <f>LEFT(B301,FIND("_",B301)-1)</f>
        <v>macroplastic</v>
      </c>
      <c r="D301" t="b">
        <f>IF(C301="CTRL",FALSE,TRUE)</f>
        <v>1</v>
      </c>
      <c r="E301" s="7" t="s">
        <v>889</v>
      </c>
      <c r="F301" t="s">
        <v>15</v>
      </c>
      <c r="G301" s="1" t="s">
        <v>213</v>
      </c>
      <c r="H301" s="1">
        <v>16</v>
      </c>
      <c r="I301" s="1" t="s">
        <v>29</v>
      </c>
      <c r="J301" s="6" t="s">
        <v>23</v>
      </c>
    </row>
    <row r="302" spans="1:10" x14ac:dyDescent="0.2">
      <c r="A302" s="4" t="s">
        <v>796</v>
      </c>
      <c r="B302" t="s">
        <v>10</v>
      </c>
      <c r="C302" t="str">
        <f>LEFT(B302,FIND("_",B302)-1)</f>
        <v>CTRL</v>
      </c>
      <c r="D302" t="b">
        <v>1</v>
      </c>
      <c r="E302" s="7">
        <v>0</v>
      </c>
      <c r="F302" t="s">
        <v>892</v>
      </c>
      <c r="G302" s="1" t="s">
        <v>214</v>
      </c>
      <c r="H302" s="1">
        <v>16</v>
      </c>
      <c r="I302" s="1" t="s">
        <v>31</v>
      </c>
      <c r="J302" s="6" t="s">
        <v>23</v>
      </c>
    </row>
    <row r="303" spans="1:10" x14ac:dyDescent="0.2">
      <c r="A303" s="4" t="s">
        <v>797</v>
      </c>
      <c r="B303" t="s">
        <v>887</v>
      </c>
      <c r="C303" t="str">
        <f>LEFT(B303,FIND("_",B303)-1)</f>
        <v>starch</v>
      </c>
      <c r="D303" t="b">
        <f>IF(C303="CTRL",FALSE,TRUE)</f>
        <v>1</v>
      </c>
      <c r="E303" s="7" t="s">
        <v>889</v>
      </c>
      <c r="F303" t="s">
        <v>893</v>
      </c>
      <c r="G303" s="1" t="s">
        <v>215</v>
      </c>
      <c r="H303" s="1">
        <v>16</v>
      </c>
      <c r="I303" s="1" t="s">
        <v>33</v>
      </c>
      <c r="J303" s="6" t="s">
        <v>23</v>
      </c>
    </row>
    <row r="304" spans="1:10" x14ac:dyDescent="0.2">
      <c r="A304" s="4" t="s">
        <v>798</v>
      </c>
      <c r="B304" t="s">
        <v>887</v>
      </c>
      <c r="C304" t="str">
        <f>LEFT(B304,FIND("_",B304)-1)</f>
        <v>starch</v>
      </c>
      <c r="D304" t="b">
        <f>IF(C304="CTRL",FALSE,TRUE)</f>
        <v>1</v>
      </c>
      <c r="E304" s="7" t="s">
        <v>889</v>
      </c>
      <c r="F304" t="s">
        <v>893</v>
      </c>
      <c r="G304" s="1" t="s">
        <v>216</v>
      </c>
      <c r="H304" s="1">
        <v>16</v>
      </c>
      <c r="I304" s="1" t="s">
        <v>35</v>
      </c>
      <c r="J304" s="6" t="s">
        <v>23</v>
      </c>
    </row>
    <row r="305" spans="1:10" x14ac:dyDescent="0.2">
      <c r="A305" s="4" t="s">
        <v>799</v>
      </c>
      <c r="B305" t="s">
        <v>887</v>
      </c>
      <c r="C305" t="str">
        <f>LEFT(B305,FIND("_",B305)-1)</f>
        <v>starch</v>
      </c>
      <c r="D305" t="b">
        <f>IF(C305="CTRL",FALSE,TRUE)</f>
        <v>1</v>
      </c>
      <c r="E305" s="7" t="s">
        <v>889</v>
      </c>
      <c r="F305" t="s">
        <v>892</v>
      </c>
      <c r="G305" s="1" t="s">
        <v>217</v>
      </c>
      <c r="H305" s="1">
        <v>16</v>
      </c>
      <c r="I305" s="1" t="s">
        <v>37</v>
      </c>
      <c r="J305" s="6" t="s">
        <v>23</v>
      </c>
    </row>
    <row r="306" spans="1:10" x14ac:dyDescent="0.2">
      <c r="A306" s="4" t="s">
        <v>800</v>
      </c>
      <c r="B306" t="s">
        <v>886</v>
      </c>
      <c r="C306" t="str">
        <f>LEFT(B306,FIND("_",B306)-1)</f>
        <v>macroplastic</v>
      </c>
      <c r="D306" t="b">
        <f>IF(C306="CTRL",FALSE,TRUE)</f>
        <v>1</v>
      </c>
      <c r="E306" s="7" t="s">
        <v>890</v>
      </c>
      <c r="F306" t="s">
        <v>892</v>
      </c>
      <c r="G306" s="1" t="s">
        <v>218</v>
      </c>
      <c r="H306" s="1">
        <v>16</v>
      </c>
      <c r="I306" s="1" t="s">
        <v>39</v>
      </c>
      <c r="J306" s="6" t="s">
        <v>23</v>
      </c>
    </row>
    <row r="307" spans="1:10" x14ac:dyDescent="0.2">
      <c r="A307" s="4" t="s">
        <v>801</v>
      </c>
      <c r="B307" t="s">
        <v>10</v>
      </c>
      <c r="C307" t="str">
        <f>LEFT(B307,FIND("_",B307)-1)</f>
        <v>CTRL</v>
      </c>
      <c r="D307" t="b">
        <v>1</v>
      </c>
      <c r="E307" s="7">
        <v>0</v>
      </c>
      <c r="F307" t="s">
        <v>15</v>
      </c>
      <c r="G307" s="1" t="s">
        <v>219</v>
      </c>
      <c r="H307" s="1">
        <v>16</v>
      </c>
      <c r="I307" s="1" t="s">
        <v>41</v>
      </c>
      <c r="J307" s="6" t="s">
        <v>23</v>
      </c>
    </row>
    <row r="308" spans="1:10" x14ac:dyDescent="0.2">
      <c r="A308" s="4" t="s">
        <v>802</v>
      </c>
      <c r="B308" t="s">
        <v>885</v>
      </c>
      <c r="C308" t="str">
        <f>LEFT(B308,FIND("_",B308)-1)</f>
        <v>macroplastic</v>
      </c>
      <c r="D308" t="b">
        <f>IF(C308="CTRL",FALSE,TRUE)</f>
        <v>1</v>
      </c>
      <c r="E308" s="7" t="s">
        <v>889</v>
      </c>
      <c r="F308" t="s">
        <v>893</v>
      </c>
      <c r="G308" s="1" t="s">
        <v>220</v>
      </c>
      <c r="H308" s="1">
        <v>16</v>
      </c>
      <c r="I308" s="1" t="s">
        <v>43</v>
      </c>
      <c r="J308" s="6" t="s">
        <v>23</v>
      </c>
    </row>
    <row r="309" spans="1:10" x14ac:dyDescent="0.2">
      <c r="A309" s="4" t="s">
        <v>803</v>
      </c>
      <c r="B309" t="s">
        <v>10</v>
      </c>
      <c r="C309" t="str">
        <f>LEFT(B309,FIND("_",B309)-1)</f>
        <v>CTRL</v>
      </c>
      <c r="D309" t="b">
        <v>1</v>
      </c>
      <c r="E309" s="7">
        <v>0</v>
      </c>
      <c r="F309" t="s">
        <v>893</v>
      </c>
      <c r="G309" s="1" t="s">
        <v>221</v>
      </c>
      <c r="H309" s="1">
        <v>16</v>
      </c>
      <c r="I309" s="1" t="s">
        <v>45</v>
      </c>
      <c r="J309" s="6" t="s">
        <v>23</v>
      </c>
    </row>
    <row r="310" spans="1:10" x14ac:dyDescent="0.2">
      <c r="A310" s="4" t="s">
        <v>804</v>
      </c>
      <c r="B310" t="s">
        <v>882</v>
      </c>
      <c r="C310" t="str">
        <f>LEFT(B310,FIND("_",B310)-1)</f>
        <v>CTRL</v>
      </c>
      <c r="D310" t="b">
        <f>IF(C310="CTRL",FALSE,TRUE)</f>
        <v>0</v>
      </c>
      <c r="E310" s="7">
        <v>10</v>
      </c>
      <c r="F310" t="s">
        <v>21</v>
      </c>
      <c r="G310" s="1" t="s">
        <v>222</v>
      </c>
      <c r="H310" s="1">
        <v>16</v>
      </c>
      <c r="I310" s="1" t="s">
        <v>47</v>
      </c>
      <c r="J310" s="6" t="s">
        <v>23</v>
      </c>
    </row>
    <row r="311" spans="1:10" x14ac:dyDescent="0.2">
      <c r="A311" s="4" t="s">
        <v>805</v>
      </c>
      <c r="B311" t="s">
        <v>885</v>
      </c>
      <c r="C311" t="str">
        <f>LEFT(B311,FIND("_",B311)-1)</f>
        <v>macroplastic</v>
      </c>
      <c r="D311" t="b">
        <f>IF(C311="CTRL",FALSE,TRUE)</f>
        <v>1</v>
      </c>
      <c r="E311" s="7" t="s">
        <v>889</v>
      </c>
      <c r="F311" t="s">
        <v>892</v>
      </c>
      <c r="G311" s="1" t="s">
        <v>223</v>
      </c>
      <c r="H311" s="1">
        <v>16</v>
      </c>
      <c r="I311" s="1" t="s">
        <v>49</v>
      </c>
      <c r="J311" s="6" t="s">
        <v>23</v>
      </c>
    </row>
    <row r="312" spans="1:10" x14ac:dyDescent="0.2">
      <c r="A312" s="4" t="s">
        <v>806</v>
      </c>
      <c r="B312" t="s">
        <v>883</v>
      </c>
      <c r="C312" t="str">
        <f>LEFT(B312,FIND("_",B312)-1)</f>
        <v>microplastic</v>
      </c>
      <c r="D312" t="b">
        <f>IF(C312="CTRL",FALSE,TRUE)</f>
        <v>1</v>
      </c>
      <c r="E312" s="7" t="s">
        <v>889</v>
      </c>
      <c r="F312" t="s">
        <v>15</v>
      </c>
      <c r="G312" s="1" t="s">
        <v>224</v>
      </c>
      <c r="H312" s="1">
        <v>16</v>
      </c>
      <c r="I312" s="1" t="s">
        <v>51</v>
      </c>
      <c r="J312" s="6" t="s">
        <v>23</v>
      </c>
    </row>
    <row r="313" spans="1:10" x14ac:dyDescent="0.2">
      <c r="A313" s="4" t="s">
        <v>807</v>
      </c>
      <c r="B313" t="s">
        <v>887</v>
      </c>
      <c r="C313" t="str">
        <f>LEFT(B313,FIND("_",B313)-1)</f>
        <v>starch</v>
      </c>
      <c r="D313" t="b">
        <f>IF(C313="CTRL",FALSE,TRUE)</f>
        <v>1</v>
      </c>
      <c r="E313" s="7" t="s">
        <v>889</v>
      </c>
      <c r="F313" t="s">
        <v>21</v>
      </c>
      <c r="G313" s="1" t="s">
        <v>225</v>
      </c>
      <c r="H313" s="1">
        <v>16</v>
      </c>
      <c r="I313" s="1" t="s">
        <v>53</v>
      </c>
      <c r="J313" s="6" t="s">
        <v>23</v>
      </c>
    </row>
    <row r="314" spans="1:10" x14ac:dyDescent="0.2">
      <c r="A314" s="4" t="s">
        <v>808</v>
      </c>
      <c r="B314" t="s">
        <v>886</v>
      </c>
      <c r="C314" t="str">
        <f>LEFT(B314,FIND("_",B314)-1)</f>
        <v>macroplastic</v>
      </c>
      <c r="D314" t="b">
        <f>IF(C314="CTRL",FALSE,TRUE)</f>
        <v>1</v>
      </c>
      <c r="E314" s="7" t="s">
        <v>890</v>
      </c>
      <c r="F314" t="s">
        <v>893</v>
      </c>
      <c r="G314" s="1" t="s">
        <v>226</v>
      </c>
      <c r="H314" s="1">
        <v>16</v>
      </c>
      <c r="I314" s="1" t="s">
        <v>55</v>
      </c>
      <c r="J314" s="6" t="s">
        <v>23</v>
      </c>
    </row>
    <row r="315" spans="1:10" x14ac:dyDescent="0.2">
      <c r="A315" s="4" t="s">
        <v>809</v>
      </c>
      <c r="B315" t="s">
        <v>887</v>
      </c>
      <c r="C315" t="str">
        <f>LEFT(B315,FIND("_",B315)-1)</f>
        <v>starch</v>
      </c>
      <c r="D315" t="b">
        <f>IF(C315="CTRL",FALSE,TRUE)</f>
        <v>1</v>
      </c>
      <c r="E315" s="7" t="s">
        <v>889</v>
      </c>
      <c r="F315" t="s">
        <v>892</v>
      </c>
      <c r="G315" s="1" t="s">
        <v>227</v>
      </c>
      <c r="H315" s="1">
        <v>16</v>
      </c>
      <c r="I315" s="1" t="s">
        <v>57</v>
      </c>
      <c r="J315" s="6" t="s">
        <v>23</v>
      </c>
    </row>
    <row r="316" spans="1:10" x14ac:dyDescent="0.2">
      <c r="A316" s="4" t="s">
        <v>810</v>
      </c>
      <c r="B316" t="s">
        <v>885</v>
      </c>
      <c r="C316" t="str">
        <f>LEFT(B316,FIND("_",B316)-1)</f>
        <v>macroplastic</v>
      </c>
      <c r="D316" t="b">
        <f>IF(C316="CTRL",FALSE,TRUE)</f>
        <v>1</v>
      </c>
      <c r="E316" s="7" t="s">
        <v>889</v>
      </c>
      <c r="F316" t="s">
        <v>892</v>
      </c>
      <c r="G316" s="1" t="s">
        <v>228</v>
      </c>
      <c r="H316" s="1">
        <v>16</v>
      </c>
      <c r="I316" s="1" t="s">
        <v>59</v>
      </c>
      <c r="J316" s="6" t="s">
        <v>23</v>
      </c>
    </row>
    <row r="317" spans="1:10" x14ac:dyDescent="0.2">
      <c r="A317" s="4" t="s">
        <v>811</v>
      </c>
      <c r="B317" t="s">
        <v>880</v>
      </c>
      <c r="C317" t="str">
        <f>LEFT(B317,FIND("_",B317)-1)</f>
        <v>CTRL</v>
      </c>
      <c r="D317" t="b">
        <f>IF(C317="CTRL",FALSE,TRUE)</f>
        <v>0</v>
      </c>
      <c r="E317" s="7">
        <v>10</v>
      </c>
      <c r="F317" t="s">
        <v>15</v>
      </c>
      <c r="G317" s="1" t="s">
        <v>229</v>
      </c>
      <c r="H317" s="1">
        <v>16</v>
      </c>
      <c r="I317" s="1" t="s">
        <v>61</v>
      </c>
      <c r="J317" s="6" t="s">
        <v>23</v>
      </c>
    </row>
    <row r="318" spans="1:10" x14ac:dyDescent="0.2">
      <c r="A318" s="4" t="s">
        <v>812</v>
      </c>
      <c r="B318" t="s">
        <v>885</v>
      </c>
      <c r="C318" t="str">
        <f>LEFT(B318,FIND("_",B318)-1)</f>
        <v>macroplastic</v>
      </c>
      <c r="D318" t="b">
        <f>IF(C318="CTRL",FALSE,TRUE)</f>
        <v>1</v>
      </c>
      <c r="E318" s="7" t="s">
        <v>889</v>
      </c>
      <c r="F318" t="s">
        <v>893</v>
      </c>
      <c r="G318" s="1" t="s">
        <v>230</v>
      </c>
      <c r="H318" s="1">
        <v>16</v>
      </c>
      <c r="I318" s="1" t="s">
        <v>63</v>
      </c>
      <c r="J318" s="6" t="s">
        <v>23</v>
      </c>
    </row>
    <row r="319" spans="1:10" x14ac:dyDescent="0.2">
      <c r="A319" s="4" t="s">
        <v>813</v>
      </c>
      <c r="B319" t="s">
        <v>887</v>
      </c>
      <c r="C319" t="str">
        <f>LEFT(B319,FIND("_",B319)-1)</f>
        <v>starch</v>
      </c>
      <c r="D319" t="b">
        <f>IF(C319="CTRL",FALSE,TRUE)</f>
        <v>1</v>
      </c>
      <c r="E319" s="7" t="s">
        <v>889</v>
      </c>
      <c r="F319" t="s">
        <v>15</v>
      </c>
      <c r="G319" s="1" t="s">
        <v>231</v>
      </c>
      <c r="H319" s="1">
        <v>16</v>
      </c>
      <c r="I319" s="1" t="s">
        <v>65</v>
      </c>
      <c r="J319" s="6" t="s">
        <v>23</v>
      </c>
    </row>
    <row r="320" spans="1:10" x14ac:dyDescent="0.2">
      <c r="A320" s="8" t="s">
        <v>814</v>
      </c>
      <c r="B320" s="11" t="s">
        <v>884</v>
      </c>
      <c r="C320" t="str">
        <f>LEFT(B320,FIND("_",B320)-1)</f>
        <v>microplastic</v>
      </c>
      <c r="D320" t="b">
        <f>IF(C320="CTRL",FALSE,TRUE)</f>
        <v>1</v>
      </c>
      <c r="E320" s="7" t="s">
        <v>890</v>
      </c>
      <c r="F320" t="s">
        <v>893</v>
      </c>
      <c r="G320" s="9" t="s">
        <v>232</v>
      </c>
      <c r="H320" s="9">
        <v>16</v>
      </c>
      <c r="I320" s="9" t="s">
        <v>67</v>
      </c>
      <c r="J320" s="12" t="s">
        <v>23</v>
      </c>
    </row>
    <row r="321" spans="1:10" x14ac:dyDescent="0.2">
      <c r="A321" s="4" t="s">
        <v>815</v>
      </c>
      <c r="B321" t="s">
        <v>881</v>
      </c>
      <c r="C321" t="str">
        <f>LEFT(B321,FIND("_",B321)-1)</f>
        <v>CTRL</v>
      </c>
      <c r="D321" t="b">
        <f>IF(C321="CTRL",FALSE,TRUE)</f>
        <v>0</v>
      </c>
      <c r="E321" s="7">
        <v>10</v>
      </c>
      <c r="F321" t="s">
        <v>15</v>
      </c>
      <c r="G321" s="1" t="s">
        <v>233</v>
      </c>
      <c r="H321" s="1">
        <v>16</v>
      </c>
      <c r="I321" s="1" t="s">
        <v>69</v>
      </c>
      <c r="J321" s="6" t="s">
        <v>23</v>
      </c>
    </row>
    <row r="322" spans="1:10" x14ac:dyDescent="0.2">
      <c r="A322" s="4" t="s">
        <v>816</v>
      </c>
      <c r="B322" t="s">
        <v>888</v>
      </c>
      <c r="C322" t="str">
        <f>LEFT(B322,FIND("_",B322)-1)</f>
        <v>starch</v>
      </c>
      <c r="D322" t="b">
        <f>IF(C322="CTRL",FALSE,TRUE)</f>
        <v>1</v>
      </c>
      <c r="E322" s="7" t="s">
        <v>890</v>
      </c>
      <c r="F322" t="s">
        <v>892</v>
      </c>
      <c r="G322" s="1" t="s">
        <v>234</v>
      </c>
      <c r="H322" s="1">
        <v>16</v>
      </c>
      <c r="I322" s="1" t="s">
        <v>71</v>
      </c>
      <c r="J322" s="6" t="s">
        <v>23</v>
      </c>
    </row>
    <row r="323" spans="1:10" x14ac:dyDescent="0.2">
      <c r="A323" s="4" t="s">
        <v>817</v>
      </c>
      <c r="B323" t="s">
        <v>10</v>
      </c>
      <c r="C323" t="str">
        <f>LEFT(B323,FIND("_",B323)-1)</f>
        <v>CTRL</v>
      </c>
      <c r="D323" t="b">
        <v>1</v>
      </c>
      <c r="E323" s="7">
        <v>0</v>
      </c>
      <c r="F323" t="s">
        <v>21</v>
      </c>
      <c r="G323" s="1" t="s">
        <v>235</v>
      </c>
      <c r="H323" s="1">
        <v>16</v>
      </c>
      <c r="I323" s="1" t="s">
        <v>73</v>
      </c>
      <c r="J323" s="6" t="s">
        <v>23</v>
      </c>
    </row>
    <row r="324" spans="1:10" x14ac:dyDescent="0.2">
      <c r="A324" s="4" t="s">
        <v>818</v>
      </c>
      <c r="B324" t="s">
        <v>10</v>
      </c>
      <c r="C324" t="str">
        <f>LEFT(B324,FIND("_",B324)-1)</f>
        <v>CTRL</v>
      </c>
      <c r="D324" t="b">
        <v>1</v>
      </c>
      <c r="E324" s="7">
        <v>0</v>
      </c>
      <c r="F324" t="s">
        <v>21</v>
      </c>
      <c r="G324" s="1" t="s">
        <v>236</v>
      </c>
      <c r="H324" s="1">
        <v>16</v>
      </c>
      <c r="I324" s="1" t="s">
        <v>75</v>
      </c>
      <c r="J324" s="6" t="s">
        <v>23</v>
      </c>
    </row>
    <row r="325" spans="1:10" x14ac:dyDescent="0.2">
      <c r="A325" s="4" t="s">
        <v>819</v>
      </c>
      <c r="B325" t="s">
        <v>884</v>
      </c>
      <c r="C325" t="str">
        <f>LEFT(B325,FIND("_",B325)-1)</f>
        <v>microplastic</v>
      </c>
      <c r="D325" t="b">
        <f>IF(C325="CTRL",FALSE,TRUE)</f>
        <v>1</v>
      </c>
      <c r="E325" s="7" t="s">
        <v>890</v>
      </c>
      <c r="F325" t="s">
        <v>15</v>
      </c>
      <c r="G325" s="1" t="s">
        <v>237</v>
      </c>
      <c r="H325" s="1">
        <v>16</v>
      </c>
      <c r="I325" s="1" t="s">
        <v>77</v>
      </c>
      <c r="J325" s="6" t="s">
        <v>23</v>
      </c>
    </row>
    <row r="326" spans="1:10" x14ac:dyDescent="0.2">
      <c r="A326" s="4" t="s">
        <v>820</v>
      </c>
      <c r="B326" t="s">
        <v>888</v>
      </c>
      <c r="C326" t="str">
        <f>LEFT(B326,FIND("_",B326)-1)</f>
        <v>starch</v>
      </c>
      <c r="D326" t="b">
        <f>IF(C326="CTRL",FALSE,TRUE)</f>
        <v>1</v>
      </c>
      <c r="E326" s="7" t="s">
        <v>890</v>
      </c>
      <c r="F326" t="s">
        <v>892</v>
      </c>
      <c r="G326" s="1" t="s">
        <v>238</v>
      </c>
      <c r="H326" s="1">
        <v>16</v>
      </c>
      <c r="I326" s="1" t="s">
        <v>79</v>
      </c>
      <c r="J326" s="6" t="s">
        <v>23</v>
      </c>
    </row>
    <row r="327" spans="1:10" x14ac:dyDescent="0.2">
      <c r="A327" s="4" t="s">
        <v>821</v>
      </c>
      <c r="B327" t="s">
        <v>10</v>
      </c>
      <c r="C327" t="str">
        <f>LEFT(B327,FIND("_",B327)-1)</f>
        <v>CTRL</v>
      </c>
      <c r="D327" t="b">
        <v>1</v>
      </c>
      <c r="E327" s="7">
        <v>0</v>
      </c>
      <c r="F327" t="s">
        <v>893</v>
      </c>
      <c r="G327" s="1" t="s">
        <v>239</v>
      </c>
      <c r="H327" s="1">
        <v>16</v>
      </c>
      <c r="I327" s="1" t="s">
        <v>81</v>
      </c>
      <c r="J327" s="6" t="s">
        <v>23</v>
      </c>
    </row>
    <row r="328" spans="1:10" x14ac:dyDescent="0.2">
      <c r="A328" s="4" t="s">
        <v>822</v>
      </c>
      <c r="B328" t="s">
        <v>884</v>
      </c>
      <c r="C328" t="str">
        <f>LEFT(B328,FIND("_",B328)-1)</f>
        <v>microplastic</v>
      </c>
      <c r="D328" t="b">
        <f>IF(C328="CTRL",FALSE,TRUE)</f>
        <v>1</v>
      </c>
      <c r="E328" s="7" t="s">
        <v>890</v>
      </c>
      <c r="F328" t="s">
        <v>892</v>
      </c>
      <c r="G328" s="1" t="s">
        <v>240</v>
      </c>
      <c r="H328" s="1">
        <v>16</v>
      </c>
      <c r="I328" s="1" t="s">
        <v>83</v>
      </c>
      <c r="J328" s="6" t="s">
        <v>23</v>
      </c>
    </row>
    <row r="329" spans="1:10" x14ac:dyDescent="0.2">
      <c r="A329" s="4" t="s">
        <v>823</v>
      </c>
      <c r="B329" t="s">
        <v>888</v>
      </c>
      <c r="C329" t="str">
        <f>LEFT(B329,FIND("_",B329)-1)</f>
        <v>starch</v>
      </c>
      <c r="D329" t="b">
        <f>IF(C329="CTRL",FALSE,TRUE)</f>
        <v>1</v>
      </c>
      <c r="E329" s="7" t="s">
        <v>890</v>
      </c>
      <c r="F329" t="s">
        <v>15</v>
      </c>
      <c r="G329" s="1" t="s">
        <v>241</v>
      </c>
      <c r="H329" s="1">
        <v>16</v>
      </c>
      <c r="I329" s="1" t="s">
        <v>85</v>
      </c>
      <c r="J329" s="6" t="s">
        <v>23</v>
      </c>
    </row>
    <row r="330" spans="1:10" x14ac:dyDescent="0.2">
      <c r="A330" s="4" t="s">
        <v>824</v>
      </c>
      <c r="B330" t="s">
        <v>883</v>
      </c>
      <c r="C330" t="str">
        <f>LEFT(B330,FIND("_",B330)-1)</f>
        <v>microplastic</v>
      </c>
      <c r="D330" t="b">
        <f>IF(C330="CTRL",FALSE,TRUE)</f>
        <v>1</v>
      </c>
      <c r="E330" s="7" t="s">
        <v>889</v>
      </c>
      <c r="F330" t="s">
        <v>892</v>
      </c>
      <c r="G330" s="1" t="s">
        <v>242</v>
      </c>
      <c r="H330" s="1">
        <v>16</v>
      </c>
      <c r="I330" s="1" t="s">
        <v>87</v>
      </c>
      <c r="J330" s="6" t="s">
        <v>23</v>
      </c>
    </row>
    <row r="331" spans="1:10" x14ac:dyDescent="0.2">
      <c r="A331" s="4" t="s">
        <v>825</v>
      </c>
      <c r="B331" t="s">
        <v>880</v>
      </c>
      <c r="C331" t="str">
        <f>LEFT(B331,FIND("_",B331)-1)</f>
        <v>CTRL</v>
      </c>
      <c r="D331" t="b">
        <f>IF(C331="CTRL",FALSE,TRUE)</f>
        <v>0</v>
      </c>
      <c r="E331" s="7">
        <v>10</v>
      </c>
      <c r="F331" t="s">
        <v>21</v>
      </c>
      <c r="G331" s="1" t="s">
        <v>243</v>
      </c>
      <c r="H331" s="1">
        <v>16</v>
      </c>
      <c r="I331" s="1" t="s">
        <v>89</v>
      </c>
      <c r="J331" s="6" t="s">
        <v>23</v>
      </c>
    </row>
    <row r="332" spans="1:10" x14ac:dyDescent="0.2">
      <c r="A332" s="4" t="s">
        <v>826</v>
      </c>
      <c r="B332" t="s">
        <v>883</v>
      </c>
      <c r="C332" t="str">
        <f>LEFT(B332,FIND("_",B332)-1)</f>
        <v>microplastic</v>
      </c>
      <c r="D332" t="b">
        <f>IF(C332="CTRL",FALSE,TRUE)</f>
        <v>1</v>
      </c>
      <c r="E332" s="7" t="s">
        <v>889</v>
      </c>
      <c r="F332" t="s">
        <v>21</v>
      </c>
      <c r="G332" s="1" t="s">
        <v>244</v>
      </c>
      <c r="H332" s="1">
        <v>16</v>
      </c>
      <c r="I332" s="1" t="s">
        <v>91</v>
      </c>
      <c r="J332" s="6" t="s">
        <v>23</v>
      </c>
    </row>
    <row r="333" spans="1:10" x14ac:dyDescent="0.2">
      <c r="A333" s="4" t="s">
        <v>827</v>
      </c>
      <c r="B333" t="s">
        <v>887</v>
      </c>
      <c r="C333" t="str">
        <f>LEFT(B333,FIND("_",B333)-1)</f>
        <v>starch</v>
      </c>
      <c r="D333" t="b">
        <f>IF(C333="CTRL",FALSE,TRUE)</f>
        <v>1</v>
      </c>
      <c r="E333" s="7" t="s">
        <v>889</v>
      </c>
      <c r="F333" t="s">
        <v>893</v>
      </c>
      <c r="G333" s="1" t="s">
        <v>245</v>
      </c>
      <c r="H333" s="1">
        <v>16</v>
      </c>
      <c r="I333" s="1" t="s">
        <v>93</v>
      </c>
      <c r="J333" s="6" t="s">
        <v>23</v>
      </c>
    </row>
    <row r="334" spans="1:10" x14ac:dyDescent="0.2">
      <c r="A334" s="4" t="s">
        <v>828</v>
      </c>
      <c r="B334" t="s">
        <v>882</v>
      </c>
      <c r="C334" t="str">
        <f>LEFT(B334,FIND("_",B334)-1)</f>
        <v>CTRL</v>
      </c>
      <c r="D334" t="b">
        <f>IF(C334="CTRL",FALSE,TRUE)</f>
        <v>0</v>
      </c>
      <c r="E334" s="7">
        <v>10</v>
      </c>
      <c r="F334" t="s">
        <v>21</v>
      </c>
      <c r="G334" s="1" t="s">
        <v>246</v>
      </c>
      <c r="H334" s="1">
        <v>16</v>
      </c>
      <c r="I334" s="1" t="s">
        <v>95</v>
      </c>
      <c r="J334" s="6" t="s">
        <v>23</v>
      </c>
    </row>
    <row r="335" spans="1:10" x14ac:dyDescent="0.2">
      <c r="A335" s="4" t="s">
        <v>829</v>
      </c>
      <c r="B335" t="s">
        <v>883</v>
      </c>
      <c r="C335" t="str">
        <f>LEFT(B335,FIND("_",B335)-1)</f>
        <v>microplastic</v>
      </c>
      <c r="D335" t="b">
        <f>IF(C335="CTRL",FALSE,TRUE)</f>
        <v>1</v>
      </c>
      <c r="E335" s="7" t="s">
        <v>889</v>
      </c>
      <c r="F335" t="s">
        <v>21</v>
      </c>
      <c r="G335" s="1" t="s">
        <v>247</v>
      </c>
      <c r="H335" s="1">
        <v>16</v>
      </c>
      <c r="I335" s="1" t="s">
        <v>97</v>
      </c>
      <c r="J335" s="6" t="s">
        <v>23</v>
      </c>
    </row>
    <row r="336" spans="1:10" x14ac:dyDescent="0.2">
      <c r="A336" s="4" t="s">
        <v>830</v>
      </c>
      <c r="B336" t="s">
        <v>882</v>
      </c>
      <c r="C336" t="str">
        <f>LEFT(B336,FIND("_",B336)-1)</f>
        <v>CTRL</v>
      </c>
      <c r="D336" t="b">
        <f>IF(C336="CTRL",FALSE,TRUE)</f>
        <v>0</v>
      </c>
      <c r="E336" s="7">
        <v>10</v>
      </c>
      <c r="F336" t="s">
        <v>15</v>
      </c>
      <c r="G336" s="1" t="s">
        <v>248</v>
      </c>
      <c r="H336" s="1">
        <v>16</v>
      </c>
      <c r="I336" s="1" t="s">
        <v>99</v>
      </c>
      <c r="J336" s="6" t="s">
        <v>23</v>
      </c>
    </row>
    <row r="337" spans="1:10" x14ac:dyDescent="0.2">
      <c r="A337" s="4" t="s">
        <v>831</v>
      </c>
      <c r="B337" t="s">
        <v>883</v>
      </c>
      <c r="C337" t="str">
        <f>LEFT(B337,FIND("_",B337)-1)</f>
        <v>microplastic</v>
      </c>
      <c r="D337" t="b">
        <f>IF(C337="CTRL",FALSE,TRUE)</f>
        <v>1</v>
      </c>
      <c r="E337" s="7" t="s">
        <v>889</v>
      </c>
      <c r="F337" t="s">
        <v>892</v>
      </c>
      <c r="G337" s="1" t="s">
        <v>249</v>
      </c>
      <c r="H337" s="1">
        <v>16</v>
      </c>
      <c r="I337" s="1" t="s">
        <v>101</v>
      </c>
      <c r="J337" s="6" t="s">
        <v>23</v>
      </c>
    </row>
    <row r="338" spans="1:10" x14ac:dyDescent="0.2">
      <c r="A338" s="4" t="s">
        <v>832</v>
      </c>
      <c r="B338" t="s">
        <v>884</v>
      </c>
      <c r="C338" t="str">
        <f>LEFT(B338,FIND("_",B338)-1)</f>
        <v>microplastic</v>
      </c>
      <c r="D338" t="b">
        <f>IF(C338="CTRL",FALSE,TRUE)</f>
        <v>1</v>
      </c>
      <c r="E338" s="7" t="s">
        <v>890</v>
      </c>
      <c r="F338" t="s">
        <v>892</v>
      </c>
      <c r="G338" s="1" t="s">
        <v>250</v>
      </c>
      <c r="H338" s="1">
        <v>16</v>
      </c>
      <c r="I338" s="1" t="s">
        <v>103</v>
      </c>
      <c r="J338" s="6" t="s">
        <v>23</v>
      </c>
    </row>
    <row r="339" spans="1:10" x14ac:dyDescent="0.2">
      <c r="A339" s="4" t="s">
        <v>833</v>
      </c>
      <c r="B339" t="s">
        <v>884</v>
      </c>
      <c r="C339" t="str">
        <f>LEFT(B339,FIND("_",B339)-1)</f>
        <v>microplastic</v>
      </c>
      <c r="D339" t="b">
        <f>IF(C339="CTRL",FALSE,TRUE)</f>
        <v>1</v>
      </c>
      <c r="E339" s="7" t="s">
        <v>890</v>
      </c>
      <c r="F339" t="s">
        <v>21</v>
      </c>
      <c r="G339" s="1" t="s">
        <v>251</v>
      </c>
      <c r="H339" s="1">
        <v>16</v>
      </c>
      <c r="I339" s="1" t="s">
        <v>105</v>
      </c>
      <c r="J339" s="6" t="s">
        <v>23</v>
      </c>
    </row>
    <row r="340" spans="1:10" x14ac:dyDescent="0.2">
      <c r="A340" s="4" t="s">
        <v>834</v>
      </c>
      <c r="B340" t="s">
        <v>883</v>
      </c>
      <c r="C340" t="str">
        <f>LEFT(B340,FIND("_",B340)-1)</f>
        <v>microplastic</v>
      </c>
      <c r="D340" t="b">
        <f>IF(C340="CTRL",FALSE,TRUE)</f>
        <v>1</v>
      </c>
      <c r="E340" s="7" t="s">
        <v>889</v>
      </c>
      <c r="F340" t="s">
        <v>15</v>
      </c>
      <c r="G340" s="1" t="s">
        <v>252</v>
      </c>
      <c r="H340" s="1">
        <v>16</v>
      </c>
      <c r="I340" s="1" t="s">
        <v>107</v>
      </c>
      <c r="J340" s="6" t="s">
        <v>23</v>
      </c>
    </row>
    <row r="341" spans="1:10" x14ac:dyDescent="0.2">
      <c r="A341" s="4" t="s">
        <v>835</v>
      </c>
      <c r="B341" t="s">
        <v>885</v>
      </c>
      <c r="C341" t="str">
        <f>LEFT(B341,FIND("_",B341)-1)</f>
        <v>macroplastic</v>
      </c>
      <c r="D341" t="b">
        <f>IF(C341="CTRL",FALSE,TRUE)</f>
        <v>1</v>
      </c>
      <c r="E341" s="7" t="s">
        <v>889</v>
      </c>
      <c r="F341" t="s">
        <v>21</v>
      </c>
      <c r="G341" s="1" t="s">
        <v>253</v>
      </c>
      <c r="H341" s="1">
        <v>16</v>
      </c>
      <c r="I341" s="1" t="s">
        <v>109</v>
      </c>
      <c r="J341" s="6" t="s">
        <v>23</v>
      </c>
    </row>
    <row r="342" spans="1:10" x14ac:dyDescent="0.2">
      <c r="A342" s="4" t="s">
        <v>836</v>
      </c>
      <c r="B342" t="s">
        <v>884</v>
      </c>
      <c r="C342" t="str">
        <f>LEFT(B342,FIND("_",B342)-1)</f>
        <v>microplastic</v>
      </c>
      <c r="D342" t="b">
        <f>IF(C342="CTRL",FALSE,TRUE)</f>
        <v>1</v>
      </c>
      <c r="E342" s="7" t="s">
        <v>890</v>
      </c>
      <c r="F342" t="s">
        <v>21</v>
      </c>
      <c r="G342" s="1" t="s">
        <v>254</v>
      </c>
      <c r="H342" s="1">
        <v>16</v>
      </c>
      <c r="I342" s="1" t="s">
        <v>111</v>
      </c>
      <c r="J342" s="6" t="s">
        <v>23</v>
      </c>
    </row>
    <row r="343" spans="1:10" x14ac:dyDescent="0.2">
      <c r="A343" s="4" t="s">
        <v>837</v>
      </c>
      <c r="B343" t="s">
        <v>888</v>
      </c>
      <c r="C343" t="str">
        <f>LEFT(B343,FIND("_",B343)-1)</f>
        <v>starch</v>
      </c>
      <c r="D343" t="b">
        <f>IF(C343="CTRL",FALSE,TRUE)</f>
        <v>1</v>
      </c>
      <c r="E343" s="7" t="s">
        <v>890</v>
      </c>
      <c r="F343" t="s">
        <v>15</v>
      </c>
      <c r="G343" s="1" t="s">
        <v>255</v>
      </c>
      <c r="H343" s="1">
        <v>16</v>
      </c>
      <c r="I343" s="1" t="s">
        <v>113</v>
      </c>
      <c r="J343" s="6" t="s">
        <v>23</v>
      </c>
    </row>
    <row r="344" spans="1:10" x14ac:dyDescent="0.2">
      <c r="A344" s="4" t="s">
        <v>838</v>
      </c>
      <c r="B344" t="s">
        <v>887</v>
      </c>
      <c r="C344" t="str">
        <f>LEFT(B344,FIND("_",B344)-1)</f>
        <v>starch</v>
      </c>
      <c r="D344" t="b">
        <f>IF(C344="CTRL",FALSE,TRUE)</f>
        <v>1</v>
      </c>
      <c r="E344" s="7" t="s">
        <v>889</v>
      </c>
      <c r="F344" t="s">
        <v>21</v>
      </c>
      <c r="G344" s="1" t="s">
        <v>256</v>
      </c>
      <c r="H344" s="1">
        <v>16</v>
      </c>
      <c r="I344" s="1" t="s">
        <v>115</v>
      </c>
      <c r="J344" s="6" t="s">
        <v>23</v>
      </c>
    </row>
    <row r="345" spans="1:10" x14ac:dyDescent="0.2">
      <c r="A345" s="4" t="s">
        <v>839</v>
      </c>
      <c r="B345" t="s">
        <v>886</v>
      </c>
      <c r="C345" t="str">
        <f>LEFT(B345,FIND("_",B345)-1)</f>
        <v>macroplastic</v>
      </c>
      <c r="D345" t="b">
        <f>IF(C345="CTRL",FALSE,TRUE)</f>
        <v>1</v>
      </c>
      <c r="E345" s="7" t="s">
        <v>890</v>
      </c>
      <c r="F345" t="s">
        <v>21</v>
      </c>
      <c r="G345" s="1" t="s">
        <v>257</v>
      </c>
      <c r="H345" s="1">
        <v>16</v>
      </c>
      <c r="I345" s="1" t="s">
        <v>117</v>
      </c>
      <c r="J345" s="6" t="s">
        <v>23</v>
      </c>
    </row>
    <row r="346" spans="1:10" x14ac:dyDescent="0.2">
      <c r="A346" s="4" t="s">
        <v>840</v>
      </c>
      <c r="B346" t="s">
        <v>884</v>
      </c>
      <c r="C346" t="str">
        <f>LEFT(B346,FIND("_",B346)-1)</f>
        <v>microplastic</v>
      </c>
      <c r="D346" t="b">
        <f>IF(C346="CTRL",FALSE,TRUE)</f>
        <v>1</v>
      </c>
      <c r="E346" s="7" t="s">
        <v>890</v>
      </c>
      <c r="F346" t="s">
        <v>15</v>
      </c>
      <c r="G346" s="1" t="s">
        <v>258</v>
      </c>
      <c r="H346" s="1">
        <v>16</v>
      </c>
      <c r="I346" s="1" t="s">
        <v>119</v>
      </c>
      <c r="J346" s="6" t="s">
        <v>23</v>
      </c>
    </row>
    <row r="347" spans="1:10" x14ac:dyDescent="0.2">
      <c r="A347" s="4" t="s">
        <v>841</v>
      </c>
      <c r="B347" t="s">
        <v>886</v>
      </c>
      <c r="C347" t="str">
        <f>LEFT(B347,FIND("_",B347)-1)</f>
        <v>macroplastic</v>
      </c>
      <c r="D347" t="b">
        <f>IF(C347="CTRL",FALSE,TRUE)</f>
        <v>1</v>
      </c>
      <c r="E347" s="7" t="s">
        <v>890</v>
      </c>
      <c r="F347" t="s">
        <v>892</v>
      </c>
      <c r="G347" s="1" t="s">
        <v>259</v>
      </c>
      <c r="H347" s="1">
        <v>16</v>
      </c>
      <c r="I347" s="1" t="s">
        <v>121</v>
      </c>
      <c r="J347" s="6" t="s">
        <v>23</v>
      </c>
    </row>
    <row r="348" spans="1:10" x14ac:dyDescent="0.2">
      <c r="A348" s="4" t="s">
        <v>842</v>
      </c>
      <c r="B348" t="s">
        <v>883</v>
      </c>
      <c r="C348" t="str">
        <f>LEFT(B348,FIND("_",B348)-1)</f>
        <v>microplastic</v>
      </c>
      <c r="D348" t="b">
        <f>IF(C348="CTRL",FALSE,TRUE)</f>
        <v>1</v>
      </c>
      <c r="E348" s="7" t="s">
        <v>889</v>
      </c>
      <c r="F348" t="s">
        <v>15</v>
      </c>
      <c r="G348" s="1" t="s">
        <v>260</v>
      </c>
      <c r="H348" s="1">
        <v>16</v>
      </c>
      <c r="I348" s="1" t="s">
        <v>123</v>
      </c>
      <c r="J348" s="6" t="s">
        <v>23</v>
      </c>
    </row>
    <row r="349" spans="1:10" x14ac:dyDescent="0.2">
      <c r="A349" s="4" t="s">
        <v>843</v>
      </c>
      <c r="B349" t="s">
        <v>888</v>
      </c>
      <c r="C349" t="str">
        <f>LEFT(B349,FIND("_",B349)-1)</f>
        <v>starch</v>
      </c>
      <c r="D349" t="b">
        <f>IF(C349="CTRL",FALSE,TRUE)</f>
        <v>1</v>
      </c>
      <c r="E349" s="7" t="s">
        <v>890</v>
      </c>
      <c r="F349" t="s">
        <v>893</v>
      </c>
      <c r="G349" s="1" t="s">
        <v>261</v>
      </c>
      <c r="H349" s="1">
        <v>16</v>
      </c>
      <c r="I349" s="1" t="s">
        <v>125</v>
      </c>
      <c r="J349" s="6" t="s">
        <v>23</v>
      </c>
    </row>
    <row r="350" spans="1:10" x14ac:dyDescent="0.2">
      <c r="A350" s="4" t="s">
        <v>844</v>
      </c>
      <c r="B350" t="s">
        <v>884</v>
      </c>
      <c r="C350" t="str">
        <f>LEFT(B350,FIND("_",B350)-1)</f>
        <v>microplastic</v>
      </c>
      <c r="D350" t="b">
        <f>IF(C350="CTRL",FALSE,TRUE)</f>
        <v>1</v>
      </c>
      <c r="E350" s="7" t="s">
        <v>890</v>
      </c>
      <c r="F350" t="s">
        <v>893</v>
      </c>
      <c r="G350" s="1" t="s">
        <v>262</v>
      </c>
      <c r="H350" s="1">
        <v>16</v>
      </c>
      <c r="I350" s="1" t="s">
        <v>127</v>
      </c>
      <c r="J350" s="6" t="s">
        <v>23</v>
      </c>
    </row>
    <row r="351" spans="1:10" x14ac:dyDescent="0.2">
      <c r="A351" s="4" t="s">
        <v>845</v>
      </c>
      <c r="B351" t="s">
        <v>20</v>
      </c>
      <c r="C351" t="str">
        <f>LEFT(B351,FIND("_",B351)-1)</f>
        <v>CTRL</v>
      </c>
      <c r="D351" t="b">
        <f>IF(C351="CTRL",FALSE,TRUE)</f>
        <v>0</v>
      </c>
      <c r="E351" s="7">
        <v>0</v>
      </c>
      <c r="F351" t="s">
        <v>15</v>
      </c>
      <c r="G351" s="1" t="s">
        <v>263</v>
      </c>
      <c r="H351" s="1">
        <v>16</v>
      </c>
      <c r="I351" s="1" t="s">
        <v>129</v>
      </c>
      <c r="J351" s="6" t="s">
        <v>23</v>
      </c>
    </row>
    <row r="352" spans="1:10" x14ac:dyDescent="0.2">
      <c r="A352" s="4" t="s">
        <v>846</v>
      </c>
      <c r="B352" t="s">
        <v>888</v>
      </c>
      <c r="C352" t="str">
        <f>LEFT(B352,FIND("_",B352)-1)</f>
        <v>starch</v>
      </c>
      <c r="D352" t="b">
        <f>IF(C352="CTRL",FALSE,TRUE)</f>
        <v>1</v>
      </c>
      <c r="E352" s="7" t="s">
        <v>890</v>
      </c>
      <c r="F352" t="s">
        <v>893</v>
      </c>
      <c r="G352" s="1" t="s">
        <v>264</v>
      </c>
      <c r="H352" s="1">
        <v>16</v>
      </c>
      <c r="I352" s="1" t="s">
        <v>131</v>
      </c>
      <c r="J352" s="6" t="s">
        <v>23</v>
      </c>
    </row>
    <row r="353" spans="1:10" x14ac:dyDescent="0.2">
      <c r="A353" s="4" t="s">
        <v>847</v>
      </c>
      <c r="B353" t="s">
        <v>10</v>
      </c>
      <c r="C353" t="str">
        <f>LEFT(B353,FIND("_",B353)-1)</f>
        <v>CTRL</v>
      </c>
      <c r="D353" t="b">
        <v>1</v>
      </c>
      <c r="E353" s="7">
        <v>0</v>
      </c>
      <c r="F353" t="s">
        <v>893</v>
      </c>
      <c r="G353" s="1" t="s">
        <v>265</v>
      </c>
      <c r="H353" s="1">
        <v>16</v>
      </c>
      <c r="I353" s="1" t="s">
        <v>133</v>
      </c>
      <c r="J353" s="6" t="s">
        <v>23</v>
      </c>
    </row>
    <row r="354" spans="1:10" x14ac:dyDescent="0.2">
      <c r="A354" s="4" t="s">
        <v>848</v>
      </c>
      <c r="B354" t="s">
        <v>888</v>
      </c>
      <c r="C354" t="str">
        <f>LEFT(B354,FIND("_",B354)-1)</f>
        <v>starch</v>
      </c>
      <c r="D354" t="b">
        <f>IF(C354="CTRL",FALSE,TRUE)</f>
        <v>1</v>
      </c>
      <c r="E354" s="7" t="s">
        <v>890</v>
      </c>
      <c r="F354" t="s">
        <v>892</v>
      </c>
      <c r="G354" s="1" t="s">
        <v>266</v>
      </c>
      <c r="H354" s="1">
        <v>16</v>
      </c>
      <c r="I354" s="1" t="s">
        <v>135</v>
      </c>
      <c r="J354" s="6" t="s">
        <v>23</v>
      </c>
    </row>
    <row r="355" spans="1:10" x14ac:dyDescent="0.2">
      <c r="A355" s="4" t="s">
        <v>849</v>
      </c>
      <c r="B355" t="s">
        <v>886</v>
      </c>
      <c r="C355" t="str">
        <f>LEFT(B355,FIND("_",B355)-1)</f>
        <v>macroplastic</v>
      </c>
      <c r="D355" t="b">
        <f>IF(C355="CTRL",FALSE,TRUE)</f>
        <v>1</v>
      </c>
      <c r="E355" s="7" t="s">
        <v>890</v>
      </c>
      <c r="F355" t="s">
        <v>21</v>
      </c>
      <c r="G355" s="1" t="s">
        <v>267</v>
      </c>
      <c r="H355" s="1">
        <v>16</v>
      </c>
      <c r="I355" s="1" t="s">
        <v>137</v>
      </c>
      <c r="J355" s="6" t="s">
        <v>23</v>
      </c>
    </row>
    <row r="356" spans="1:10" x14ac:dyDescent="0.2">
      <c r="A356" s="4" t="s">
        <v>850</v>
      </c>
      <c r="B356" t="s">
        <v>10</v>
      </c>
      <c r="C356" t="str">
        <f>LEFT(B356,FIND("_",B356)-1)</f>
        <v>CTRL</v>
      </c>
      <c r="D356" t="b">
        <v>1</v>
      </c>
      <c r="E356" s="7">
        <v>0</v>
      </c>
      <c r="F356" t="s">
        <v>15</v>
      </c>
      <c r="G356" s="1" t="s">
        <v>268</v>
      </c>
      <c r="H356" s="1">
        <v>16</v>
      </c>
      <c r="I356" s="1" t="s">
        <v>139</v>
      </c>
      <c r="J356" s="6" t="s">
        <v>23</v>
      </c>
    </row>
    <row r="357" spans="1:10" x14ac:dyDescent="0.2">
      <c r="A357" s="4" t="s">
        <v>851</v>
      </c>
      <c r="B357" t="s">
        <v>10</v>
      </c>
      <c r="C357" t="str">
        <f>LEFT(B357,FIND("_",B357)-1)</f>
        <v>CTRL</v>
      </c>
      <c r="D357" t="b">
        <v>1</v>
      </c>
      <c r="E357" s="7">
        <v>0</v>
      </c>
      <c r="F357" t="s">
        <v>892</v>
      </c>
      <c r="G357" s="1" t="s">
        <v>269</v>
      </c>
      <c r="H357" s="1">
        <v>16</v>
      </c>
      <c r="I357" s="1" t="s">
        <v>141</v>
      </c>
      <c r="J357" s="6" t="s">
        <v>23</v>
      </c>
    </row>
    <row r="358" spans="1:10" x14ac:dyDescent="0.2">
      <c r="A358" s="4" t="s">
        <v>852</v>
      </c>
      <c r="B358" t="s">
        <v>881</v>
      </c>
      <c r="C358" t="str">
        <f>LEFT(B358,FIND("_",B358)-1)</f>
        <v>CTRL</v>
      </c>
      <c r="D358" t="b">
        <f>IF(C358="CTRL",FALSE,TRUE)</f>
        <v>0</v>
      </c>
      <c r="E358" s="7">
        <v>10</v>
      </c>
      <c r="F358" t="s">
        <v>15</v>
      </c>
      <c r="G358" s="1" t="s">
        <v>270</v>
      </c>
      <c r="H358" s="1">
        <v>16</v>
      </c>
      <c r="I358" s="1" t="s">
        <v>143</v>
      </c>
      <c r="J358" s="6" t="s">
        <v>23</v>
      </c>
    </row>
    <row r="359" spans="1:10" x14ac:dyDescent="0.2">
      <c r="A359" s="4" t="s">
        <v>853</v>
      </c>
      <c r="B359" t="s">
        <v>884</v>
      </c>
      <c r="C359" t="str">
        <f>LEFT(B359,FIND("_",B359)-1)</f>
        <v>microplastic</v>
      </c>
      <c r="D359" t="b">
        <f>IF(C359="CTRL",FALSE,TRUE)</f>
        <v>1</v>
      </c>
      <c r="E359" s="7" t="s">
        <v>890</v>
      </c>
      <c r="F359" t="s">
        <v>15</v>
      </c>
      <c r="G359" s="1" t="s">
        <v>271</v>
      </c>
      <c r="H359" s="1">
        <v>16</v>
      </c>
      <c r="I359" s="1" t="s">
        <v>145</v>
      </c>
      <c r="J359" s="6" t="s">
        <v>23</v>
      </c>
    </row>
    <row r="360" spans="1:10" x14ac:dyDescent="0.2">
      <c r="A360" s="4" t="s">
        <v>854</v>
      </c>
      <c r="B360" t="s">
        <v>886</v>
      </c>
      <c r="C360" t="str">
        <f>LEFT(B360,FIND("_",B360)-1)</f>
        <v>macroplastic</v>
      </c>
      <c r="D360" t="b">
        <f>IF(C360="CTRL",FALSE,TRUE)</f>
        <v>1</v>
      </c>
      <c r="E360" s="7" t="s">
        <v>890</v>
      </c>
      <c r="F360" t="s">
        <v>21</v>
      </c>
      <c r="G360" s="1" t="s">
        <v>272</v>
      </c>
      <c r="H360" s="1">
        <v>16</v>
      </c>
      <c r="I360" s="1" t="s">
        <v>147</v>
      </c>
      <c r="J360" s="6" t="s">
        <v>23</v>
      </c>
    </row>
    <row r="361" spans="1:10" x14ac:dyDescent="0.2">
      <c r="A361" s="4" t="s">
        <v>855</v>
      </c>
      <c r="B361" t="s">
        <v>888</v>
      </c>
      <c r="C361" t="str">
        <f>LEFT(B361,FIND("_",B361)-1)</f>
        <v>starch</v>
      </c>
      <c r="D361" t="b">
        <f>IF(C361="CTRL",FALSE,TRUE)</f>
        <v>1</v>
      </c>
      <c r="E361" s="7" t="s">
        <v>890</v>
      </c>
      <c r="F361" t="s">
        <v>21</v>
      </c>
      <c r="G361" s="1" t="s">
        <v>273</v>
      </c>
      <c r="H361" s="1">
        <v>16</v>
      </c>
      <c r="I361" s="1" t="s">
        <v>149</v>
      </c>
      <c r="J361" s="6" t="s">
        <v>23</v>
      </c>
    </row>
    <row r="362" spans="1:10" x14ac:dyDescent="0.2">
      <c r="A362" s="4" t="s">
        <v>856</v>
      </c>
      <c r="B362" t="s">
        <v>883</v>
      </c>
      <c r="C362" t="str">
        <f>LEFT(B362,FIND("_",B362)-1)</f>
        <v>microplastic</v>
      </c>
      <c r="D362" t="b">
        <f>IF(C362="CTRL",FALSE,TRUE)</f>
        <v>1</v>
      </c>
      <c r="E362" s="7" t="s">
        <v>889</v>
      </c>
      <c r="F362" t="s">
        <v>893</v>
      </c>
      <c r="G362" s="1" t="s">
        <v>274</v>
      </c>
      <c r="H362" s="1">
        <v>16</v>
      </c>
      <c r="I362" s="1" t="s">
        <v>151</v>
      </c>
      <c r="J362" s="6" t="s">
        <v>23</v>
      </c>
    </row>
    <row r="363" spans="1:10" x14ac:dyDescent="0.2">
      <c r="A363" s="4" t="s">
        <v>857</v>
      </c>
      <c r="B363" t="s">
        <v>887</v>
      </c>
      <c r="C363" t="str">
        <f>LEFT(B363,FIND("_",B363)-1)</f>
        <v>starch</v>
      </c>
      <c r="D363" t="b">
        <f>IF(C363="CTRL",FALSE,TRUE)</f>
        <v>1</v>
      </c>
      <c r="E363" s="7" t="s">
        <v>889</v>
      </c>
      <c r="F363" t="s">
        <v>15</v>
      </c>
      <c r="G363" s="1" t="s">
        <v>275</v>
      </c>
      <c r="H363" s="1">
        <v>16</v>
      </c>
      <c r="I363" s="1" t="s">
        <v>153</v>
      </c>
      <c r="J363" s="6" t="s">
        <v>23</v>
      </c>
    </row>
    <row r="364" spans="1:10" x14ac:dyDescent="0.2">
      <c r="A364" s="4" t="s">
        <v>858</v>
      </c>
      <c r="B364" t="s">
        <v>885</v>
      </c>
      <c r="C364" t="str">
        <f>LEFT(B364,FIND("_",B364)-1)</f>
        <v>macroplastic</v>
      </c>
      <c r="D364" t="b">
        <f>IF(C364="CTRL",FALSE,TRUE)</f>
        <v>1</v>
      </c>
      <c r="E364" s="7" t="s">
        <v>889</v>
      </c>
      <c r="F364" t="s">
        <v>893</v>
      </c>
      <c r="G364" s="1" t="s">
        <v>276</v>
      </c>
      <c r="H364" s="1">
        <v>16</v>
      </c>
      <c r="I364" s="1" t="s">
        <v>155</v>
      </c>
      <c r="J364" s="6" t="s">
        <v>23</v>
      </c>
    </row>
    <row r="365" spans="1:10" x14ac:dyDescent="0.2">
      <c r="A365" s="4" t="s">
        <v>859</v>
      </c>
      <c r="B365" t="s">
        <v>888</v>
      </c>
      <c r="C365" t="str">
        <f>LEFT(B365,FIND("_",B365)-1)</f>
        <v>starch</v>
      </c>
      <c r="D365" t="b">
        <f>IF(C365="CTRL",FALSE,TRUE)</f>
        <v>1</v>
      </c>
      <c r="E365" s="7" t="s">
        <v>890</v>
      </c>
      <c r="F365" t="s">
        <v>15</v>
      </c>
      <c r="G365" s="1" t="s">
        <v>277</v>
      </c>
      <c r="H365" s="1">
        <v>16</v>
      </c>
      <c r="I365" s="1" t="s">
        <v>157</v>
      </c>
      <c r="J365" s="6" t="s">
        <v>23</v>
      </c>
    </row>
    <row r="366" spans="1:10" x14ac:dyDescent="0.2">
      <c r="A366" s="4" t="s">
        <v>860</v>
      </c>
      <c r="B366" t="s">
        <v>885</v>
      </c>
      <c r="C366" t="str">
        <f>LEFT(B366,FIND("_",B366)-1)</f>
        <v>macroplastic</v>
      </c>
      <c r="D366" t="b">
        <f>IF(C366="CTRL",FALSE,TRUE)</f>
        <v>1</v>
      </c>
      <c r="E366" s="7" t="s">
        <v>889</v>
      </c>
      <c r="F366" t="s">
        <v>21</v>
      </c>
      <c r="G366" s="1" t="s">
        <v>278</v>
      </c>
      <c r="H366" s="1">
        <v>16</v>
      </c>
      <c r="I366" s="1" t="s">
        <v>159</v>
      </c>
      <c r="J366" s="6" t="s">
        <v>23</v>
      </c>
    </row>
    <row r="367" spans="1:10" x14ac:dyDescent="0.2">
      <c r="A367" s="4" t="s">
        <v>861</v>
      </c>
      <c r="B367" t="s">
        <v>10</v>
      </c>
      <c r="C367" t="str">
        <f>LEFT(B367,FIND("_",B367)-1)</f>
        <v>CTRL</v>
      </c>
      <c r="D367" t="b">
        <v>1</v>
      </c>
      <c r="E367" s="7">
        <v>0</v>
      </c>
      <c r="F367" t="s">
        <v>21</v>
      </c>
      <c r="G367" s="1" t="s">
        <v>279</v>
      </c>
      <c r="H367" s="1">
        <v>16</v>
      </c>
      <c r="I367" s="1" t="s">
        <v>161</v>
      </c>
      <c r="J367" s="6" t="s">
        <v>23</v>
      </c>
    </row>
    <row r="368" spans="1:10" x14ac:dyDescent="0.2">
      <c r="A368" s="4" t="s">
        <v>862</v>
      </c>
      <c r="B368" t="s">
        <v>883</v>
      </c>
      <c r="C368" t="str">
        <f>LEFT(B368,FIND("_",B368)-1)</f>
        <v>microplastic</v>
      </c>
      <c r="D368" t="b">
        <f>IF(C368="CTRL",FALSE,TRUE)</f>
        <v>1</v>
      </c>
      <c r="E368" s="7" t="s">
        <v>889</v>
      </c>
      <c r="F368" t="s">
        <v>893</v>
      </c>
      <c r="G368" s="1" t="s">
        <v>280</v>
      </c>
      <c r="H368" s="1">
        <v>16</v>
      </c>
      <c r="I368" s="1" t="s">
        <v>163</v>
      </c>
      <c r="J368" s="6" t="s">
        <v>23</v>
      </c>
    </row>
    <row r="369" spans="1:10" x14ac:dyDescent="0.2">
      <c r="A369" s="4" t="s">
        <v>863</v>
      </c>
      <c r="B369" t="s">
        <v>885</v>
      </c>
      <c r="C369" t="str">
        <f>LEFT(B369,FIND("_",B369)-1)</f>
        <v>macroplastic</v>
      </c>
      <c r="D369" t="b">
        <f>IF(C369="CTRL",FALSE,TRUE)</f>
        <v>1</v>
      </c>
      <c r="E369" s="7" t="s">
        <v>889</v>
      </c>
      <c r="F369" t="s">
        <v>892</v>
      </c>
      <c r="G369" s="1" t="s">
        <v>281</v>
      </c>
      <c r="H369" s="1">
        <v>16</v>
      </c>
      <c r="I369" s="1" t="s">
        <v>165</v>
      </c>
      <c r="J369" s="6" t="s">
        <v>23</v>
      </c>
    </row>
    <row r="370" spans="1:10" x14ac:dyDescent="0.2">
      <c r="A370" s="4" t="s">
        <v>864</v>
      </c>
      <c r="B370" t="s">
        <v>886</v>
      </c>
      <c r="C370" t="str">
        <f>LEFT(B370,FIND("_",B370)-1)</f>
        <v>macroplastic</v>
      </c>
      <c r="D370" t="b">
        <f>IF(C370="CTRL",FALSE,TRUE)</f>
        <v>1</v>
      </c>
      <c r="E370" s="7" t="s">
        <v>890</v>
      </c>
      <c r="F370" t="s">
        <v>892</v>
      </c>
      <c r="G370" s="1" t="s">
        <v>282</v>
      </c>
      <c r="H370" s="1">
        <v>16</v>
      </c>
      <c r="I370" s="1" t="s">
        <v>167</v>
      </c>
      <c r="J370" s="6" t="s">
        <v>23</v>
      </c>
    </row>
    <row r="371" spans="1:10" x14ac:dyDescent="0.2">
      <c r="A371" s="4" t="s">
        <v>865</v>
      </c>
      <c r="B371" t="s">
        <v>882</v>
      </c>
      <c r="C371" t="str">
        <f>LEFT(B371,FIND("_",B371)-1)</f>
        <v>CTRL</v>
      </c>
      <c r="D371" t="b">
        <f>IF(C371="CTRL",FALSE,TRUE)</f>
        <v>0</v>
      </c>
      <c r="E371" s="7">
        <v>10</v>
      </c>
      <c r="F371" t="s">
        <v>15</v>
      </c>
      <c r="G371" s="1" t="s">
        <v>283</v>
      </c>
      <c r="H371" s="1">
        <v>16</v>
      </c>
      <c r="I371" s="1" t="s">
        <v>169</v>
      </c>
      <c r="J371" s="6" t="s">
        <v>23</v>
      </c>
    </row>
    <row r="372" spans="1:10" x14ac:dyDescent="0.2">
      <c r="A372" s="4" t="s">
        <v>866</v>
      </c>
      <c r="B372" t="s">
        <v>883</v>
      </c>
      <c r="C372" t="str">
        <f>LEFT(B372,FIND("_",B372)-1)</f>
        <v>microplastic</v>
      </c>
      <c r="D372" t="b">
        <f>IF(C372="CTRL",FALSE,TRUE)</f>
        <v>1</v>
      </c>
      <c r="E372" s="7" t="s">
        <v>889</v>
      </c>
      <c r="F372" t="s">
        <v>21</v>
      </c>
      <c r="G372" s="1" t="s">
        <v>284</v>
      </c>
      <c r="H372" s="1">
        <v>16</v>
      </c>
      <c r="I372" s="1" t="s">
        <v>171</v>
      </c>
      <c r="J372" s="6" t="s">
        <v>23</v>
      </c>
    </row>
    <row r="373" spans="1:10" x14ac:dyDescent="0.2">
      <c r="A373" s="4" t="s">
        <v>867</v>
      </c>
      <c r="B373" t="s">
        <v>881</v>
      </c>
      <c r="C373" t="str">
        <f>LEFT(B373,FIND("_",B373)-1)</f>
        <v>CTRL</v>
      </c>
      <c r="D373" t="b">
        <f>IF(C373="CTRL",FALSE,TRUE)</f>
        <v>0</v>
      </c>
      <c r="E373" s="7">
        <v>10</v>
      </c>
      <c r="F373" t="s">
        <v>21</v>
      </c>
      <c r="G373" s="1" t="s">
        <v>285</v>
      </c>
      <c r="H373" s="1">
        <v>16</v>
      </c>
      <c r="I373" s="1" t="s">
        <v>173</v>
      </c>
      <c r="J373" s="6" t="s">
        <v>23</v>
      </c>
    </row>
    <row r="374" spans="1:10" x14ac:dyDescent="0.2">
      <c r="A374" s="4" t="s">
        <v>868</v>
      </c>
      <c r="B374" t="s">
        <v>883</v>
      </c>
      <c r="C374" t="str">
        <f>LEFT(B374,FIND("_",B374)-1)</f>
        <v>microplastic</v>
      </c>
      <c r="D374" t="b">
        <f>IF(C374="CTRL",FALSE,TRUE)</f>
        <v>1</v>
      </c>
      <c r="E374" s="7" t="s">
        <v>889</v>
      </c>
      <c r="F374" t="s">
        <v>893</v>
      </c>
      <c r="G374" s="1" t="s">
        <v>286</v>
      </c>
      <c r="H374" s="1">
        <v>16</v>
      </c>
      <c r="I374" s="1" t="s">
        <v>175</v>
      </c>
      <c r="J374" s="6" t="s">
        <v>23</v>
      </c>
    </row>
    <row r="375" spans="1:10" x14ac:dyDescent="0.2">
      <c r="A375" s="4" t="s">
        <v>869</v>
      </c>
      <c r="B375" t="s">
        <v>884</v>
      </c>
      <c r="C375" t="str">
        <f>LEFT(B375,FIND("_",B375)-1)</f>
        <v>microplastic</v>
      </c>
      <c r="D375" t="b">
        <f>IF(C375="CTRL",FALSE,TRUE)</f>
        <v>1</v>
      </c>
      <c r="E375" s="7" t="s">
        <v>890</v>
      </c>
      <c r="F375" t="s">
        <v>21</v>
      </c>
      <c r="G375" s="1" t="s">
        <v>287</v>
      </c>
      <c r="H375" s="1">
        <v>16</v>
      </c>
      <c r="I375" s="1" t="s">
        <v>177</v>
      </c>
      <c r="J375" s="6" t="s">
        <v>23</v>
      </c>
    </row>
    <row r="376" spans="1:10" x14ac:dyDescent="0.2">
      <c r="A376" s="4" t="s">
        <v>870</v>
      </c>
      <c r="B376" t="s">
        <v>885</v>
      </c>
      <c r="C376" t="str">
        <f>LEFT(B376,FIND("_",B376)-1)</f>
        <v>macroplastic</v>
      </c>
      <c r="D376" t="b">
        <f>IF(C376="CTRL",FALSE,TRUE)</f>
        <v>1</v>
      </c>
      <c r="E376" s="7" t="s">
        <v>889</v>
      </c>
      <c r="F376" t="s">
        <v>21</v>
      </c>
      <c r="G376" s="1" t="s">
        <v>288</v>
      </c>
      <c r="H376" s="1">
        <v>16</v>
      </c>
      <c r="I376" s="1" t="s">
        <v>179</v>
      </c>
      <c r="J376" s="6" t="s">
        <v>23</v>
      </c>
    </row>
    <row r="377" spans="1:10" x14ac:dyDescent="0.2">
      <c r="A377" s="4" t="s">
        <v>871</v>
      </c>
      <c r="B377" t="s">
        <v>885</v>
      </c>
      <c r="C377" t="str">
        <f>LEFT(B377,FIND("_",B377)-1)</f>
        <v>macroplastic</v>
      </c>
      <c r="D377" t="b">
        <f>IF(C377="CTRL",FALSE,TRUE)</f>
        <v>1</v>
      </c>
      <c r="E377" s="7" t="s">
        <v>889</v>
      </c>
      <c r="F377" t="s">
        <v>15</v>
      </c>
      <c r="G377" s="1" t="s">
        <v>289</v>
      </c>
      <c r="H377" s="1">
        <v>16</v>
      </c>
      <c r="I377" s="1" t="s">
        <v>181</v>
      </c>
      <c r="J377" s="6" t="s">
        <v>23</v>
      </c>
    </row>
    <row r="378" spans="1:10" x14ac:dyDescent="0.2">
      <c r="A378" s="4" t="s">
        <v>488</v>
      </c>
      <c r="B378" t="s">
        <v>879</v>
      </c>
      <c r="C378" t="s">
        <v>371</v>
      </c>
      <c r="D378" t="s">
        <v>371</v>
      </c>
      <c r="E378" s="7" t="s">
        <v>371</v>
      </c>
      <c r="F378" s="7" t="s">
        <v>371</v>
      </c>
      <c r="G378" s="1" t="s">
        <v>290</v>
      </c>
      <c r="H378" s="1">
        <v>16</v>
      </c>
      <c r="I378" s="1" t="s">
        <v>183</v>
      </c>
      <c r="J378" s="6" t="s">
        <v>23</v>
      </c>
    </row>
    <row r="379" spans="1:10" x14ac:dyDescent="0.2">
      <c r="A379" s="4" t="s">
        <v>490</v>
      </c>
      <c r="B379" t="s">
        <v>878</v>
      </c>
      <c r="C379" t="s">
        <v>371</v>
      </c>
      <c r="D379" t="s">
        <v>371</v>
      </c>
      <c r="E379" s="7" t="s">
        <v>371</v>
      </c>
      <c r="F379" s="7" t="s">
        <v>371</v>
      </c>
      <c r="G379" s="1" t="s">
        <v>291</v>
      </c>
      <c r="H379" s="1">
        <v>16</v>
      </c>
      <c r="I379" s="1" t="s">
        <v>185</v>
      </c>
      <c r="J379" s="6" t="s">
        <v>23</v>
      </c>
    </row>
    <row r="380" spans="1:10" x14ac:dyDescent="0.2">
      <c r="A380" s="4" t="s">
        <v>872</v>
      </c>
      <c r="B380" t="s">
        <v>888</v>
      </c>
      <c r="C380" t="str">
        <f>LEFT(B380,FIND("_",B380)-1)</f>
        <v>starch</v>
      </c>
      <c r="D380" t="b">
        <f>IF(C380="CTRL",FALSE,TRUE)</f>
        <v>1</v>
      </c>
      <c r="E380" s="7" t="s">
        <v>890</v>
      </c>
      <c r="F380" t="s">
        <v>21</v>
      </c>
      <c r="G380" s="1" t="s">
        <v>292</v>
      </c>
      <c r="H380" s="1">
        <v>16</v>
      </c>
      <c r="I380" s="1" t="s">
        <v>187</v>
      </c>
      <c r="J380" s="6" t="s">
        <v>23</v>
      </c>
    </row>
    <row r="381" spans="1:10" x14ac:dyDescent="0.2">
      <c r="A381" s="4" t="s">
        <v>873</v>
      </c>
      <c r="B381" t="s">
        <v>881</v>
      </c>
      <c r="C381" t="str">
        <f>LEFT(B381,FIND("_",B381)-1)</f>
        <v>CTRL</v>
      </c>
      <c r="D381" t="b">
        <f>IF(C381="CTRL",FALSE,TRUE)</f>
        <v>0</v>
      </c>
      <c r="E381" s="7">
        <v>10</v>
      </c>
      <c r="F381" t="s">
        <v>21</v>
      </c>
      <c r="G381" s="1" t="s">
        <v>293</v>
      </c>
      <c r="H381" s="1">
        <v>16</v>
      </c>
      <c r="I381" s="1" t="s">
        <v>189</v>
      </c>
      <c r="J381" s="6" t="s">
        <v>23</v>
      </c>
    </row>
    <row r="382" spans="1:10" x14ac:dyDescent="0.2">
      <c r="A382" s="4" t="s">
        <v>874</v>
      </c>
      <c r="B382" t="s">
        <v>10</v>
      </c>
      <c r="C382" t="str">
        <f>LEFT(B382,FIND("_",B382)-1)</f>
        <v>CTRL</v>
      </c>
      <c r="D382" t="b">
        <v>1</v>
      </c>
      <c r="E382" s="7">
        <v>0</v>
      </c>
      <c r="F382" t="s">
        <v>15</v>
      </c>
      <c r="G382" s="1" t="s">
        <v>294</v>
      </c>
      <c r="H382" s="1">
        <v>16</v>
      </c>
      <c r="I382" s="1" t="s">
        <v>191</v>
      </c>
      <c r="J382" s="6" t="s">
        <v>23</v>
      </c>
    </row>
    <row r="383" spans="1:10" x14ac:dyDescent="0.2">
      <c r="A383" s="8" t="s">
        <v>875</v>
      </c>
      <c r="B383" s="11" t="s">
        <v>886</v>
      </c>
      <c r="C383" t="str">
        <f>LEFT(B383,FIND("_",B383)-1)</f>
        <v>macroplastic</v>
      </c>
      <c r="D383" t="b">
        <f>IF(C383="CTRL",FALSE,TRUE)</f>
        <v>1</v>
      </c>
      <c r="E383" s="7" t="s">
        <v>890</v>
      </c>
      <c r="F383" s="11" t="s">
        <v>15</v>
      </c>
      <c r="G383" s="9" t="s">
        <v>295</v>
      </c>
      <c r="H383" s="9">
        <v>16</v>
      </c>
      <c r="I383" s="9" t="s">
        <v>193</v>
      </c>
      <c r="J383" s="12" t="s">
        <v>23</v>
      </c>
    </row>
    <row r="384" spans="1:10" x14ac:dyDescent="0.2">
      <c r="A384" s="4" t="s">
        <v>876</v>
      </c>
      <c r="B384" t="s">
        <v>885</v>
      </c>
      <c r="C384" t="str">
        <f>LEFT(B384,FIND("_",B384)-1)</f>
        <v>macroplastic</v>
      </c>
      <c r="D384" t="b">
        <f>IF(C384="CTRL",FALSE,TRUE)</f>
        <v>1</v>
      </c>
      <c r="E384" s="7" t="s">
        <v>889</v>
      </c>
      <c r="F384" t="s">
        <v>15</v>
      </c>
      <c r="G384" s="1" t="s">
        <v>297</v>
      </c>
      <c r="H384" s="1">
        <v>16</v>
      </c>
      <c r="I384" s="1" t="s">
        <v>195</v>
      </c>
      <c r="J384" s="6" t="s">
        <v>23</v>
      </c>
    </row>
    <row r="385" spans="1:10" ht="17" thickBot="1" x14ac:dyDescent="0.25">
      <c r="A385" s="13" t="s">
        <v>877</v>
      </c>
      <c r="B385" s="10" t="s">
        <v>887</v>
      </c>
      <c r="C385" s="10" t="str">
        <f>LEFT(B385,FIND("_",B385)-1)</f>
        <v>starch</v>
      </c>
      <c r="D385" s="10" t="b">
        <f>IF(C385="CTRL",FALSE,TRUE)</f>
        <v>1</v>
      </c>
      <c r="E385" s="14" t="s">
        <v>889</v>
      </c>
      <c r="F385" s="10" t="s">
        <v>15</v>
      </c>
      <c r="G385" s="15" t="s">
        <v>299</v>
      </c>
      <c r="H385" s="15">
        <v>16</v>
      </c>
      <c r="I385" s="15" t="s">
        <v>198</v>
      </c>
      <c r="J385" s="16" t="s">
        <v>23</v>
      </c>
    </row>
  </sheetData>
  <conditionalFormatting sqref="A2:A38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Jan Wälchli</cp:lastModifiedBy>
  <cp:revision/>
  <dcterms:created xsi:type="dcterms:W3CDTF">2021-09-28T08:37:25Z</dcterms:created>
  <dcterms:modified xsi:type="dcterms:W3CDTF">2022-08-16T13:16:59Z</dcterms:modified>
  <cp:category/>
  <cp:contentStatus/>
</cp:coreProperties>
</file>